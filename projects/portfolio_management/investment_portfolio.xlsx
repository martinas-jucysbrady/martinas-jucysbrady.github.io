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issdcu-my.sharepoint.com/personal/martinas_jucysbrady2_mail_dcu_ie/Documents/Kobe University/Semester 2/Advanced Portfolio Management/"/>
    </mc:Choice>
  </mc:AlternateContent>
  <xr:revisionPtr revIDLastSave="0" documentId="13_ncr:1_{36DE6298-9965-49D8-A323-E3FD5A8267D1}" xr6:coauthVersionLast="47" xr6:coauthVersionMax="47" xr10:uidLastSave="{00000000-0000-0000-0000-000000000000}"/>
  <bookViews>
    <workbookView xWindow="-120" yWindow="-120" windowWidth="20730" windowHeight="11040" activeTab="3" xr2:uid="{00000000-000D-0000-FFFF-FFFF00000000}"/>
  </bookViews>
  <sheets>
    <sheet name="Portfolio" sheetId="8" r:id="rId1"/>
    <sheet name="Transactions" sheetId="20" r:id="rId2"/>
    <sheet name="Weekly Overview" sheetId="13" r:id="rId3"/>
    <sheet name="Stocks" sheetId="17" r:id="rId4"/>
    <sheet name="ETF+Bonds" sheetId="18" r:id="rId5"/>
    <sheet name="REIT+Crypto+Cash" sheetId="19" r:id="rId6"/>
    <sheet name="Sample Portfolio Quarterly" sheetId="11" r:id="rId7"/>
    <sheet name="Sample Portfolio Annual " sheetId="12" r:id="rId8"/>
  </sheets>
  <definedNames>
    <definedName name="solver_adj" localSheetId="7" hidden="1">'Sample Portfolio Annual '!$AS$22:$AS$44</definedName>
    <definedName name="solver_adj" localSheetId="6" hidden="1">'Sample Portfolio Quarterly'!$D$28:$AM$28</definedName>
    <definedName name="solver_cvg" localSheetId="7" hidden="1">0.0001</definedName>
    <definedName name="solver_cvg" localSheetId="6" hidden="1">0.000001</definedName>
    <definedName name="solver_drv" localSheetId="7" hidden="1">1</definedName>
    <definedName name="solver_drv" localSheetId="6" hidden="1">1</definedName>
    <definedName name="solver_eng" localSheetId="7" hidden="1">1</definedName>
    <definedName name="solver_eng" localSheetId="6" hidden="1">1</definedName>
    <definedName name="solver_est" localSheetId="7" hidden="1">1</definedName>
    <definedName name="solver_est" localSheetId="6" hidden="1">1</definedName>
    <definedName name="solver_itr" localSheetId="7" hidden="1">2147483647</definedName>
    <definedName name="solver_itr" localSheetId="6" hidden="1">2147483647</definedName>
    <definedName name="solver_lhs1" localSheetId="7" hidden="1">'Sample Portfolio Annual '!$AP$15</definedName>
    <definedName name="solver_lhs1" localSheetId="6" hidden="1">'Sample Portfolio Quarterly'!$AE$28</definedName>
    <definedName name="solver_lhs10" localSheetId="6" hidden="1">'Sample Portfolio Quarterly'!$V$28</definedName>
    <definedName name="solver_lhs11" localSheetId="6" hidden="1">'Sample Portfolio Quarterly'!$X$28</definedName>
    <definedName name="solver_lhs12" localSheetId="6" hidden="1">'Sample Portfolio Quarterly'!$W$28</definedName>
    <definedName name="solver_lhs13" localSheetId="6" hidden="1">'Sample Portfolio Quarterly'!$V$28</definedName>
    <definedName name="solver_lhs14" localSheetId="6" hidden="1">'Sample Portfolio Quarterly'!$T$28</definedName>
    <definedName name="solver_lhs15" localSheetId="6" hidden="1">'Sample Portfolio Quarterly'!$U$28</definedName>
    <definedName name="solver_lhs16" localSheetId="6" hidden="1">'Sample Portfolio Quarterly'!$Q$28</definedName>
    <definedName name="solver_lhs17" localSheetId="6" hidden="1">'Sample Portfolio Quarterly'!$T$28</definedName>
    <definedName name="solver_lhs18" localSheetId="6" hidden="1">'Sample Portfolio Quarterly'!$R$28</definedName>
    <definedName name="solver_lhs19" localSheetId="6" hidden="1">'Sample Portfolio Quarterly'!$Q$28</definedName>
    <definedName name="solver_lhs2" localSheetId="7" hidden="1">'Sample Portfolio Annual '!$D$15:$AK$15</definedName>
    <definedName name="solver_lhs2" localSheetId="6" hidden="1">'Sample Portfolio Quarterly'!$AB$28</definedName>
    <definedName name="solver_lhs20" localSheetId="6" hidden="1">'Sample Portfolio Quarterly'!$M$28</definedName>
    <definedName name="solver_lhs21" localSheetId="6" hidden="1">'Sample Portfolio Quarterly'!$O$28</definedName>
    <definedName name="solver_lhs22" localSheetId="6" hidden="1">'Sample Portfolio Quarterly'!$K$28</definedName>
    <definedName name="solver_lhs23" localSheetId="6" hidden="1">'Sample Portfolio Quarterly'!$G$28</definedName>
    <definedName name="solver_lhs24" localSheetId="6" hidden="1">'Sample Portfolio Quarterly'!$D$28</definedName>
    <definedName name="solver_lhs25" localSheetId="6" hidden="1">'Sample Portfolio Quarterly'!#REF!</definedName>
    <definedName name="solver_lhs26" localSheetId="6" hidden="1">'Sample Portfolio Quarterly'!$AK$28</definedName>
    <definedName name="solver_lhs27" localSheetId="6" hidden="1">'Sample Portfolio Quarterly'!$AL$28</definedName>
    <definedName name="solver_lhs28" localSheetId="6" hidden="1">'Sample Portfolio Quarterly'!$AI$28</definedName>
    <definedName name="solver_lhs29" localSheetId="6" hidden="1">'Sample Portfolio Quarterly'!$AH$28</definedName>
    <definedName name="solver_lhs3" localSheetId="6" hidden="1">'Sample Portfolio Quarterly'!$Z$28</definedName>
    <definedName name="solver_lhs30" localSheetId="6" hidden="1">'Sample Portfolio Quarterly'!$AG$28</definedName>
    <definedName name="solver_lhs31" localSheetId="6" hidden="1">'Sample Portfolio Quarterly'!$AD$28</definedName>
    <definedName name="solver_lhs32" localSheetId="6" hidden="1">'Sample Portfolio Quarterly'!$AD$28</definedName>
    <definedName name="solver_lhs33" localSheetId="6" hidden="1">'Sample Portfolio Quarterly'!$AE$28</definedName>
    <definedName name="solver_lhs4" localSheetId="6" hidden="1">'Sample Portfolio Quarterly'!$AB$28</definedName>
    <definedName name="solver_lhs5" localSheetId="6" hidden="1">'Sample Portfolio Quarterly'!$AC$28</definedName>
    <definedName name="solver_lhs6" localSheetId="6" hidden="1">'Sample Portfolio Quarterly'!$AA$28</definedName>
    <definedName name="solver_lhs7" localSheetId="6" hidden="1">'Sample Portfolio Quarterly'!$Z$28</definedName>
    <definedName name="solver_lhs8" localSheetId="6" hidden="1">'Sample Portfolio Quarterly'!$X$28</definedName>
    <definedName name="solver_lhs9" localSheetId="6" hidden="1">'Sample Portfolio Quarterly'!$Y$28</definedName>
    <definedName name="solver_mip" localSheetId="7" hidden="1">2147483647</definedName>
    <definedName name="solver_mip" localSheetId="6" hidden="1">2147483647</definedName>
    <definedName name="solver_mni" localSheetId="7" hidden="1">30</definedName>
    <definedName name="solver_mni" localSheetId="6" hidden="1">300</definedName>
    <definedName name="solver_mrt" localSheetId="7" hidden="1">0.075</definedName>
    <definedName name="solver_mrt" localSheetId="6" hidden="1">0.00075</definedName>
    <definedName name="solver_msl" localSheetId="7" hidden="1">2</definedName>
    <definedName name="solver_msl" localSheetId="6" hidden="1">2</definedName>
    <definedName name="solver_neg" localSheetId="7" hidden="1">1</definedName>
    <definedName name="solver_neg" localSheetId="6" hidden="1">1</definedName>
    <definedName name="solver_nod" localSheetId="7" hidden="1">2147483647</definedName>
    <definedName name="solver_nod" localSheetId="6" hidden="1">2147483647</definedName>
    <definedName name="solver_num" localSheetId="7" hidden="1">2</definedName>
    <definedName name="solver_num" localSheetId="6" hidden="1">33</definedName>
    <definedName name="solver_nwt" localSheetId="7" hidden="1">1</definedName>
    <definedName name="solver_nwt" localSheetId="6" hidden="1">1</definedName>
    <definedName name="solver_opt" localSheetId="7" hidden="1">'Sample Portfolio Annual '!$AP$19</definedName>
    <definedName name="solver_opt" localSheetId="6" hidden="1">'Sample Portfolio Quarterly'!$AN$32</definedName>
    <definedName name="solver_pre" localSheetId="7" hidden="1">0.000001</definedName>
    <definedName name="solver_pre" localSheetId="6" hidden="1">0.0001</definedName>
    <definedName name="solver_rbv" localSheetId="7" hidden="1">1</definedName>
    <definedName name="solver_rbv" localSheetId="6" hidden="1">1</definedName>
    <definedName name="solver_rel1" localSheetId="7" hidden="1">2</definedName>
    <definedName name="solver_rel1" localSheetId="6" hidden="1">3</definedName>
    <definedName name="solver_rel10" localSheetId="6" hidden="1">3</definedName>
    <definedName name="solver_rel11" localSheetId="6" hidden="1">3</definedName>
    <definedName name="solver_rel12" localSheetId="6" hidden="1">3</definedName>
    <definedName name="solver_rel13" localSheetId="6" hidden="1">3</definedName>
    <definedName name="solver_rel14" localSheetId="6" hidden="1">3</definedName>
    <definedName name="solver_rel15" localSheetId="6" hidden="1">3</definedName>
    <definedName name="solver_rel16" localSheetId="6" hidden="1">3</definedName>
    <definedName name="solver_rel17" localSheetId="6" hidden="1">3</definedName>
    <definedName name="solver_rel18" localSheetId="6" hidden="1">3</definedName>
    <definedName name="solver_rel19" localSheetId="6" hidden="1">3</definedName>
    <definedName name="solver_rel2" localSheetId="7" hidden="1">3</definedName>
    <definedName name="solver_rel2" localSheetId="6" hidden="1">3</definedName>
    <definedName name="solver_rel20" localSheetId="6" hidden="1">3</definedName>
    <definedName name="solver_rel21" localSheetId="6" hidden="1">3</definedName>
    <definedName name="solver_rel22" localSheetId="6" hidden="1">3</definedName>
    <definedName name="solver_rel23" localSheetId="6" hidden="1">3</definedName>
    <definedName name="solver_rel24" localSheetId="6" hidden="1">3</definedName>
    <definedName name="solver_rel25" localSheetId="6" hidden="1">2</definedName>
    <definedName name="solver_rel26" localSheetId="6" hidden="1">3</definedName>
    <definedName name="solver_rel27" localSheetId="6" hidden="1">3</definedName>
    <definedName name="solver_rel28" localSheetId="6" hidden="1">3</definedName>
    <definedName name="solver_rel29" localSheetId="6" hidden="1">3</definedName>
    <definedName name="solver_rel3" localSheetId="6" hidden="1">3</definedName>
    <definedName name="solver_rel30" localSheetId="6" hidden="1">3</definedName>
    <definedName name="solver_rel31" localSheetId="6" hidden="1">3</definedName>
    <definedName name="solver_rel32" localSheetId="6" hidden="1">3</definedName>
    <definedName name="solver_rel33" localSheetId="6" hidden="1">3</definedName>
    <definedName name="solver_rel4" localSheetId="6" hidden="1">3</definedName>
    <definedName name="solver_rel5" localSheetId="6" hidden="1">3</definedName>
    <definedName name="solver_rel6" localSheetId="6" hidden="1">3</definedName>
    <definedName name="solver_rel7" localSheetId="6" hidden="1">3</definedName>
    <definedName name="solver_rel8" localSheetId="6" hidden="1">3</definedName>
    <definedName name="solver_rel9" localSheetId="6" hidden="1">3</definedName>
    <definedName name="solver_rhs1" localSheetId="7" hidden="1">1</definedName>
    <definedName name="solver_rhs1" localSheetId="6" hidden="1">0</definedName>
    <definedName name="solver_rhs10" localSheetId="6" hidden="1">0</definedName>
    <definedName name="solver_rhs11" localSheetId="6" hidden="1">0</definedName>
    <definedName name="solver_rhs12" localSheetId="6" hidden="1">0</definedName>
    <definedName name="solver_rhs13" localSheetId="6" hidden="1">0</definedName>
    <definedName name="solver_rhs14" localSheetId="6" hidden="1">0</definedName>
    <definedName name="solver_rhs15" localSheetId="6" hidden="1">0</definedName>
    <definedName name="solver_rhs16" localSheetId="6" hidden="1">0</definedName>
    <definedName name="solver_rhs17" localSheetId="6" hidden="1">0</definedName>
    <definedName name="solver_rhs18" localSheetId="6" hidden="1">0</definedName>
    <definedName name="solver_rhs19" localSheetId="6" hidden="1">0</definedName>
    <definedName name="solver_rhs2" localSheetId="7" hidden="1">0</definedName>
    <definedName name="solver_rhs2" localSheetId="6" hidden="1">0</definedName>
    <definedName name="solver_rhs20" localSheetId="6" hidden="1">0</definedName>
    <definedName name="solver_rhs21" localSheetId="6" hidden="1">0</definedName>
    <definedName name="solver_rhs22" localSheetId="6" hidden="1">0</definedName>
    <definedName name="solver_rhs23" localSheetId="6" hidden="1">0</definedName>
    <definedName name="solver_rhs24" localSheetId="6" hidden="1">0</definedName>
    <definedName name="solver_rhs25" localSheetId="6" hidden="1">1</definedName>
    <definedName name="solver_rhs26" localSheetId="6" hidden="1">0</definedName>
    <definedName name="solver_rhs27" localSheetId="6" hidden="1">0</definedName>
    <definedName name="solver_rhs28" localSheetId="6" hidden="1">0</definedName>
    <definedName name="solver_rhs29" localSheetId="6" hidden="1">0</definedName>
    <definedName name="solver_rhs3" localSheetId="6" hidden="1">0</definedName>
    <definedName name="solver_rhs30" localSheetId="6" hidden="1">0</definedName>
    <definedName name="solver_rhs31" localSheetId="6" hidden="1">0</definedName>
    <definedName name="solver_rhs32" localSheetId="6" hidden="1">0</definedName>
    <definedName name="solver_rhs33" localSheetId="6" hidden="1">0</definedName>
    <definedName name="solver_rhs4" localSheetId="6" hidden="1">0</definedName>
    <definedName name="solver_rhs5" localSheetId="6" hidden="1">0</definedName>
    <definedName name="solver_rhs6" localSheetId="6" hidden="1">0</definedName>
    <definedName name="solver_rhs7" localSheetId="6" hidden="1">0</definedName>
    <definedName name="solver_rhs8" localSheetId="6" hidden="1">0</definedName>
    <definedName name="solver_rhs9" localSheetId="6" hidden="1">0</definedName>
    <definedName name="solver_rlx" localSheetId="7" hidden="1">2</definedName>
    <definedName name="solver_rlx" localSheetId="6" hidden="1">2</definedName>
    <definedName name="solver_rsd" localSheetId="7" hidden="1">0</definedName>
    <definedName name="solver_rsd" localSheetId="6" hidden="1">0</definedName>
    <definedName name="solver_scl" localSheetId="7" hidden="1">1</definedName>
    <definedName name="solver_scl" localSheetId="6" hidden="1">1</definedName>
    <definedName name="solver_sho" localSheetId="7" hidden="1">2</definedName>
    <definedName name="solver_sho" localSheetId="6" hidden="1">2</definedName>
    <definedName name="solver_ssz" localSheetId="7" hidden="1">100</definedName>
    <definedName name="solver_ssz" localSheetId="6" hidden="1">10000</definedName>
    <definedName name="solver_tim" localSheetId="7" hidden="1">2147483647</definedName>
    <definedName name="solver_tim" localSheetId="6" hidden="1">2147483647</definedName>
    <definedName name="solver_tol" localSheetId="7" hidden="1">0.01</definedName>
    <definedName name="solver_tol" localSheetId="6" hidden="1">0.01</definedName>
    <definedName name="solver_typ" localSheetId="7" hidden="1">1</definedName>
    <definedName name="solver_typ" localSheetId="6" hidden="1">1</definedName>
    <definedName name="solver_val" localSheetId="7" hidden="1">0</definedName>
    <definedName name="solver_val" localSheetId="6" hidden="1">0</definedName>
    <definedName name="solver_ver" localSheetId="7" hidden="1">3</definedName>
    <definedName name="solver_ver" localSheetId="6"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0" i="8" l="1"/>
  <c r="L50" i="18"/>
  <c r="L30" i="19"/>
  <c r="K30" i="19"/>
  <c r="L50" i="17"/>
  <c r="L40" i="17"/>
  <c r="K40" i="17"/>
  <c r="K140" i="17"/>
  <c r="K50" i="19"/>
  <c r="K60" i="19"/>
  <c r="L59" i="19"/>
  <c r="K59" i="19"/>
  <c r="K10" i="19"/>
  <c r="L9" i="19"/>
  <c r="K9" i="19"/>
  <c r="K20" i="19"/>
  <c r="L19" i="19"/>
  <c r="K19" i="19"/>
  <c r="L29" i="19"/>
  <c r="K29" i="19"/>
  <c r="K40" i="19"/>
  <c r="L49" i="19"/>
  <c r="K49" i="19"/>
  <c r="L39" i="19"/>
  <c r="K39" i="19"/>
  <c r="K50" i="18"/>
  <c r="L49" i="18"/>
  <c r="K49" i="18"/>
  <c r="K40" i="18"/>
  <c r="L39" i="18"/>
  <c r="K39" i="18"/>
  <c r="K30" i="18"/>
  <c r="L29" i="18"/>
  <c r="K29" i="18"/>
  <c r="K20" i="18"/>
  <c r="L19" i="18"/>
  <c r="K19" i="18"/>
  <c r="K10" i="18"/>
  <c r="L9" i="18"/>
  <c r="K9" i="18"/>
  <c r="K150" i="17"/>
  <c r="L149" i="17"/>
  <c r="K149" i="17"/>
  <c r="L139" i="17"/>
  <c r="K139" i="17"/>
  <c r="K130" i="17"/>
  <c r="L129" i="17"/>
  <c r="K129" i="17"/>
  <c r="K120" i="17"/>
  <c r="L119" i="17"/>
  <c r="K119" i="17"/>
  <c r="L110" i="17"/>
  <c r="K110" i="17"/>
  <c r="L109" i="17"/>
  <c r="K109" i="17"/>
  <c r="K100" i="17"/>
  <c r="L99" i="17"/>
  <c r="K99" i="17"/>
  <c r="K90" i="17"/>
  <c r="L89" i="17"/>
  <c r="K89" i="17"/>
  <c r="K80" i="17"/>
  <c r="L79" i="17"/>
  <c r="K79" i="17"/>
  <c r="K70" i="17"/>
  <c r="L69" i="17"/>
  <c r="K69" i="17"/>
  <c r="K60" i="17"/>
  <c r="L59" i="17"/>
  <c r="K59" i="17"/>
  <c r="K50" i="17"/>
  <c r="K49" i="17"/>
  <c r="L49" i="17"/>
  <c r="L39" i="17"/>
  <c r="K39" i="17"/>
  <c r="L29" i="17"/>
  <c r="K29" i="17"/>
  <c r="K30" i="17"/>
  <c r="K20" i="17"/>
  <c r="L19" i="17"/>
  <c r="K19" i="17"/>
  <c r="K10" i="17"/>
  <c r="L9" i="17"/>
  <c r="K9" i="17"/>
  <c r="F78" i="8"/>
  <c r="K26" i="17" l="1"/>
  <c r="L26" i="17" s="1"/>
  <c r="L70" i="17"/>
  <c r="K8" i="19"/>
  <c r="L8" i="19" s="1"/>
  <c r="K18" i="18"/>
  <c r="L18" i="18" s="1"/>
  <c r="K108" i="17"/>
  <c r="L108" i="17" s="1"/>
  <c r="K88" i="17"/>
  <c r="L88" i="17" s="1"/>
  <c r="K28" i="17"/>
  <c r="L28" i="17" s="1"/>
  <c r="K38" i="17"/>
  <c r="L38" i="17" s="1"/>
  <c r="F77" i="8"/>
  <c r="L40" i="19"/>
  <c r="K58" i="19"/>
  <c r="L58" i="19" s="1"/>
  <c r="L50" i="19"/>
  <c r="K48" i="19"/>
  <c r="L48" i="19" s="1"/>
  <c r="K38" i="19"/>
  <c r="L38" i="19" s="1"/>
  <c r="K28" i="19"/>
  <c r="L28" i="19" s="1"/>
  <c r="K18" i="19"/>
  <c r="L18" i="19" s="1"/>
  <c r="L10" i="19"/>
  <c r="K48" i="18"/>
  <c r="L48" i="18" s="1"/>
  <c r="L40" i="18"/>
  <c r="K38" i="18"/>
  <c r="L38" i="18" s="1"/>
  <c r="L30" i="18"/>
  <c r="K28" i="18"/>
  <c r="L28" i="18" s="1"/>
  <c r="L20" i="18"/>
  <c r="K8" i="18"/>
  <c r="L8" i="18" s="1"/>
  <c r="K148" i="17"/>
  <c r="L148" i="17" s="1"/>
  <c r="K138" i="17"/>
  <c r="L138" i="17" s="1"/>
  <c r="K128" i="17"/>
  <c r="L128" i="17" s="1"/>
  <c r="K118" i="17"/>
  <c r="L118" i="17" s="1"/>
  <c r="L100" i="17"/>
  <c r="K98" i="17"/>
  <c r="L98" i="17" s="1"/>
  <c r="L90" i="17"/>
  <c r="K78" i="17"/>
  <c r="L78" i="17" s="1"/>
  <c r="K68" i="17"/>
  <c r="L68" i="17" s="1"/>
  <c r="K58" i="17"/>
  <c r="L58" i="17" s="1"/>
  <c r="K48" i="17"/>
  <c r="L48" i="17" s="1"/>
  <c r="K18" i="17"/>
  <c r="L18" i="17" s="1"/>
  <c r="K8" i="17"/>
  <c r="L8" i="17" s="1"/>
  <c r="H61" i="8"/>
  <c r="P93" i="8" s="1"/>
  <c r="N11" i="20" l="1"/>
  <c r="J22" i="20"/>
  <c r="I22" i="20"/>
  <c r="J21" i="20"/>
  <c r="I21" i="20"/>
  <c r="I20" i="20"/>
  <c r="J20" i="20" s="1"/>
  <c r="I19" i="20"/>
  <c r="J19" i="20" s="1"/>
  <c r="I18" i="20"/>
  <c r="J18" i="20" s="1"/>
  <c r="F76" i="8"/>
  <c r="AU41" i="11"/>
  <c r="AS36" i="11" s="1"/>
  <c r="I8" i="20"/>
  <c r="J8" i="20" s="1"/>
  <c r="K57" i="19"/>
  <c r="L57" i="19" s="1"/>
  <c r="K47" i="19"/>
  <c r="L47" i="19" s="1"/>
  <c r="K37" i="19"/>
  <c r="L37" i="19" s="1"/>
  <c r="K27" i="19"/>
  <c r="L27" i="19" s="1"/>
  <c r="K17" i="19"/>
  <c r="L17" i="19" s="1"/>
  <c r="K7" i="19"/>
  <c r="L7" i="19" s="1"/>
  <c r="K7" i="18"/>
  <c r="L7" i="18" s="1"/>
  <c r="K47" i="18"/>
  <c r="L47" i="18" s="1"/>
  <c r="K37" i="18"/>
  <c r="L37" i="18" s="1"/>
  <c r="K27" i="18"/>
  <c r="L27" i="18" s="1"/>
  <c r="K17" i="18"/>
  <c r="L17" i="18" s="1"/>
  <c r="K147" i="17"/>
  <c r="L147" i="17" s="1"/>
  <c r="K137" i="17"/>
  <c r="L137" i="17" s="1"/>
  <c r="K127" i="17"/>
  <c r="L127" i="17" s="1"/>
  <c r="K117" i="17"/>
  <c r="L117" i="17" s="1"/>
  <c r="K107" i="17"/>
  <c r="L107" i="17" s="1"/>
  <c r="K97" i="17"/>
  <c r="L97" i="17" s="1"/>
  <c r="K87" i="17"/>
  <c r="L87" i="17" s="1"/>
  <c r="K77" i="17"/>
  <c r="L77" i="17" s="1"/>
  <c r="K57" i="17"/>
  <c r="L57" i="17" s="1"/>
  <c r="K67" i="17"/>
  <c r="L67" i="17" s="1"/>
  <c r="K47" i="17"/>
  <c r="L47" i="17" s="1"/>
  <c r="K37" i="17"/>
  <c r="L37" i="17" s="1"/>
  <c r="K27" i="17"/>
  <c r="L27" i="17" s="1"/>
  <c r="K17" i="17"/>
  <c r="L17" i="17" s="1"/>
  <c r="K7" i="17"/>
  <c r="L7" i="17" s="1"/>
  <c r="F75" i="8"/>
  <c r="I14" i="20"/>
  <c r="J14" i="20" s="1"/>
  <c r="I2" i="20"/>
  <c r="I7" i="20"/>
  <c r="J7" i="20" s="1"/>
  <c r="K56" i="19"/>
  <c r="L56" i="19" s="1"/>
  <c r="K46" i="19"/>
  <c r="L46" i="19" s="1"/>
  <c r="K36" i="19"/>
  <c r="L36" i="19" s="1"/>
  <c r="K26" i="19"/>
  <c r="L26" i="19" s="1"/>
  <c r="K16" i="19"/>
  <c r="L16" i="19" s="1"/>
  <c r="K6" i="19"/>
  <c r="L6" i="19" s="1"/>
  <c r="K146" i="17"/>
  <c r="L146" i="17" s="1"/>
  <c r="K136" i="17"/>
  <c r="L136" i="17" s="1"/>
  <c r="K126" i="17"/>
  <c r="L126" i="17" s="1"/>
  <c r="K116" i="17"/>
  <c r="L116" i="17" s="1"/>
  <c r="K106" i="17"/>
  <c r="L106" i="17" s="1"/>
  <c r="K96" i="17"/>
  <c r="L96" i="17" s="1"/>
  <c r="K86" i="17"/>
  <c r="L86" i="17" s="1"/>
  <c r="K76" i="17"/>
  <c r="L76" i="17" s="1"/>
  <c r="K66" i="17"/>
  <c r="L66" i="17" s="1"/>
  <c r="K56" i="17"/>
  <c r="L56" i="17" s="1"/>
  <c r="K46" i="18"/>
  <c r="L46" i="18" s="1"/>
  <c r="K36" i="18"/>
  <c r="L36" i="18" s="1"/>
  <c r="K26" i="18"/>
  <c r="L26" i="18" s="1"/>
  <c r="K16" i="18"/>
  <c r="L16" i="18" s="1"/>
  <c r="K6" i="18"/>
  <c r="L6" i="18" s="1"/>
  <c r="K46" i="17"/>
  <c r="L46" i="17" s="1"/>
  <c r="K36" i="17"/>
  <c r="L36" i="17" s="1"/>
  <c r="K16" i="17"/>
  <c r="L16" i="17" s="1"/>
  <c r="K6" i="17"/>
  <c r="L6" i="17" s="1"/>
  <c r="I6" i="20" l="1"/>
  <c r="J6" i="20" s="1"/>
  <c r="AS43" i="11"/>
  <c r="AG28" i="11" s="1"/>
  <c r="AS48" i="11"/>
  <c r="F28" i="11" s="1"/>
  <c r="AS49" i="11"/>
  <c r="AB28" i="11" s="1"/>
  <c r="AS51" i="11"/>
  <c r="AL28" i="11" s="1"/>
  <c r="AS56" i="11"/>
  <c r="M28" i="11" s="1"/>
  <c r="AS44" i="11"/>
  <c r="AI28" i="11" s="1"/>
  <c r="AS41" i="11" l="1"/>
  <c r="R28" i="11" s="1"/>
  <c r="AS59" i="11"/>
  <c r="AS40" i="11"/>
  <c r="Z28" i="11" s="1"/>
  <c r="AS57" i="11"/>
  <c r="Q28" i="11" s="1"/>
  <c r="AS58" i="11"/>
  <c r="U28" i="11" s="1"/>
  <c r="AS50" i="11"/>
  <c r="AC28" i="11" s="1"/>
  <c r="AS42" i="11"/>
  <c r="AE28" i="11" s="1"/>
  <c r="AS55" i="11"/>
  <c r="H28" i="11" s="1"/>
  <c r="AS39" i="11"/>
  <c r="Y28" i="11" s="1"/>
  <c r="AS47" i="11"/>
  <c r="G28" i="11" s="1"/>
  <c r="AS54" i="11"/>
  <c r="AN28" i="11" s="1"/>
  <c r="AS46" i="11"/>
  <c r="E28" i="11" s="1"/>
  <c r="AS38" i="11"/>
  <c r="W28" i="11" s="1"/>
  <c r="AS53" i="11"/>
  <c r="AM28" i="11" s="1"/>
  <c r="AS45" i="11"/>
  <c r="D28" i="11" s="1"/>
  <c r="AS37" i="11"/>
  <c r="P28" i="11" s="1"/>
  <c r="T28" i="11"/>
  <c r="AS52" i="11"/>
  <c r="AJ28" i="11" s="1"/>
  <c r="K33" i="19" l="1"/>
  <c r="K103" i="17"/>
  <c r="L103" i="17" s="1"/>
  <c r="K105" i="17"/>
  <c r="L105" i="17" s="1"/>
  <c r="K95" i="17"/>
  <c r="L95" i="17" s="1"/>
  <c r="K85" i="17"/>
  <c r="L85" i="17" s="1"/>
  <c r="K75" i="17"/>
  <c r="L75" i="17" s="1"/>
  <c r="K65" i="17"/>
  <c r="L65" i="17" s="1"/>
  <c r="K55" i="17"/>
  <c r="L55" i="17" s="1"/>
  <c r="K45" i="17"/>
  <c r="L45" i="17" s="1"/>
  <c r="K35" i="17"/>
  <c r="L35" i="17" s="1"/>
  <c r="K25" i="17"/>
  <c r="L25" i="17" s="1"/>
  <c r="K45" i="18"/>
  <c r="L45" i="18" s="1"/>
  <c r="K35" i="18"/>
  <c r="L35" i="18" s="1"/>
  <c r="K25" i="18"/>
  <c r="L25" i="18" s="1"/>
  <c r="K15" i="18"/>
  <c r="L15" i="18" s="1"/>
  <c r="K5" i="18"/>
  <c r="L5" i="18" s="1"/>
  <c r="K5" i="19"/>
  <c r="L5" i="19" s="1"/>
  <c r="K15" i="19"/>
  <c r="L15" i="19" s="1"/>
  <c r="K25" i="19"/>
  <c r="L25" i="19" s="1"/>
  <c r="K35" i="19"/>
  <c r="L35" i="19" s="1"/>
  <c r="K45" i="19"/>
  <c r="L45" i="19" s="1"/>
  <c r="K55" i="19"/>
  <c r="L55" i="19" s="1"/>
  <c r="K5" i="17"/>
  <c r="L5" i="17" s="1"/>
  <c r="K15" i="17"/>
  <c r="L15" i="17" s="1"/>
  <c r="K14" i="17"/>
  <c r="I144" i="17"/>
  <c r="J144" i="17" s="1"/>
  <c r="I134" i="17"/>
  <c r="J134" i="17" s="1"/>
  <c r="I124" i="17"/>
  <c r="J124" i="17" s="1"/>
  <c r="I114" i="17"/>
  <c r="J114" i="17" s="1"/>
  <c r="L120" i="17" s="1"/>
  <c r="F72" i="8"/>
  <c r="F73" i="8"/>
  <c r="F74" i="8"/>
  <c r="C66" i="11"/>
  <c r="C65" i="11"/>
  <c r="C64" i="11"/>
  <c r="C63" i="11"/>
  <c r="C62" i="11"/>
  <c r="C61" i="11"/>
  <c r="C60" i="11"/>
  <c r="C59" i="11"/>
  <c r="C58" i="11"/>
  <c r="C57" i="11"/>
  <c r="C56" i="11"/>
  <c r="C55" i="11"/>
  <c r="C54" i="11"/>
  <c r="C53" i="11"/>
  <c r="C52" i="11"/>
  <c r="C51" i="11"/>
  <c r="C50" i="11"/>
  <c r="C49" i="11"/>
  <c r="C48" i="11"/>
  <c r="C47" i="11"/>
  <c r="C46" i="11"/>
  <c r="C45" i="11"/>
  <c r="C44" i="11"/>
  <c r="C43" i="11"/>
  <c r="C42" i="11"/>
  <c r="C41" i="11"/>
  <c r="C40" i="11"/>
  <c r="C39" i="11"/>
  <c r="C38" i="11"/>
  <c r="C37" i="11"/>
  <c r="C36" i="11"/>
  <c r="C35" i="11"/>
  <c r="C34" i="11"/>
  <c r="C33" i="11"/>
  <c r="C32" i="11"/>
  <c r="C31" i="11"/>
  <c r="C30" i="11"/>
  <c r="AT29" i="11"/>
  <c r="AS46" i="12"/>
  <c r="G54" i="8"/>
  <c r="H54" i="8" s="1"/>
  <c r="P86" i="8" s="1"/>
  <c r="G53" i="8"/>
  <c r="H53" i="8" s="1"/>
  <c r="P85" i="8" s="1"/>
  <c r="G52" i="8"/>
  <c r="H52" i="8" s="1"/>
  <c r="P84" i="8" s="1"/>
  <c r="G51" i="8"/>
  <c r="H51" i="8" s="1"/>
  <c r="P83" i="8" s="1"/>
  <c r="I5" i="20"/>
  <c r="J5" i="20" s="1"/>
  <c r="I15" i="20"/>
  <c r="J15" i="20" s="1"/>
  <c r="I16" i="20"/>
  <c r="J16" i="20" s="1"/>
  <c r="I17" i="20"/>
  <c r="J17" i="20" s="1"/>
  <c r="I4" i="20"/>
  <c r="J4" i="20" s="1"/>
  <c r="I3" i="20"/>
  <c r="J3" i="20" s="1"/>
  <c r="K125" i="17" l="1"/>
  <c r="L125" i="17" s="1"/>
  <c r="L130" i="17"/>
  <c r="K145" i="17"/>
  <c r="L145" i="17" s="1"/>
  <c r="L150" i="17"/>
  <c r="K135" i="17"/>
  <c r="L135" i="17" s="1"/>
  <c r="L140" i="17"/>
  <c r="K115" i="17"/>
  <c r="L115" i="17" s="1"/>
  <c r="AS27" i="12"/>
  <c r="P15" i="12" s="1"/>
  <c r="C28" i="12" s="1"/>
  <c r="AS35" i="12"/>
  <c r="Y15" i="12" s="1"/>
  <c r="C37" i="12" s="1"/>
  <c r="AS43" i="12"/>
  <c r="O15" i="12" s="1"/>
  <c r="C27" i="12" s="1"/>
  <c r="AS24" i="12"/>
  <c r="T15" i="12" s="1"/>
  <c r="C32" i="12" s="1"/>
  <c r="AS26" i="12"/>
  <c r="W15" i="12" s="1"/>
  <c r="C35" i="12" s="1"/>
  <c r="AS28" i="12"/>
  <c r="AB15" i="12" s="1"/>
  <c r="C40" i="12" s="1"/>
  <c r="AS36" i="12"/>
  <c r="Z15" i="12" s="1"/>
  <c r="C38" i="12" s="1"/>
  <c r="AS44" i="12"/>
  <c r="R15" i="12" s="1"/>
  <c r="C30" i="12" s="1"/>
  <c r="AS22" i="12"/>
  <c r="Q15" i="12" s="1"/>
  <c r="C29" i="12" s="1"/>
  <c r="AS33" i="12"/>
  <c r="F15" i="12" s="1"/>
  <c r="AS34" i="12"/>
  <c r="E15" i="12" s="1"/>
  <c r="C17" i="12" s="1"/>
  <c r="AS29" i="12"/>
  <c r="AC15" i="12" s="1"/>
  <c r="C41" i="12" s="1"/>
  <c r="AS37" i="12"/>
  <c r="AH15" i="12" s="1"/>
  <c r="C46" i="12" s="1"/>
  <c r="AS45" i="12"/>
  <c r="AS38" i="12"/>
  <c r="AF15" i="12" s="1"/>
  <c r="C44" i="12" s="1"/>
  <c r="AS40" i="12"/>
  <c r="AJ15" i="12" s="1"/>
  <c r="C48" i="12" s="1"/>
  <c r="AS30" i="12"/>
  <c r="AE15" i="12" s="1"/>
  <c r="C43" i="12" s="1"/>
  <c r="AS23" i="12"/>
  <c r="N15" i="12" s="1"/>
  <c r="C26" i="12" s="1"/>
  <c r="AS31" i="12"/>
  <c r="D15" i="12" s="1"/>
  <c r="C16" i="12" s="1"/>
  <c r="AS39" i="12"/>
  <c r="AI15" i="12" s="1"/>
  <c r="C47" i="12" s="1"/>
  <c r="AS32" i="12"/>
  <c r="AS41" i="12"/>
  <c r="G15" i="12" s="1"/>
  <c r="AS42" i="12"/>
  <c r="L15" i="12" s="1"/>
  <c r="C24" i="12" s="1"/>
  <c r="AS25" i="12"/>
  <c r="V15" i="12" s="1"/>
  <c r="C34" i="12" s="1"/>
  <c r="C49" i="12"/>
  <c r="C45" i="12"/>
  <c r="C42" i="12"/>
  <c r="C39" i="12"/>
  <c r="C36" i="12"/>
  <c r="C33" i="12"/>
  <c r="C31" i="12"/>
  <c r="AK29" i="12"/>
  <c r="Q49" i="12" s="1"/>
  <c r="AK26" i="12"/>
  <c r="N49" i="12" s="1"/>
  <c r="P25" i="12"/>
  <c r="M28" i="12" s="1"/>
  <c r="C25" i="12"/>
  <c r="AD23" i="12"/>
  <c r="K42" i="12" s="1"/>
  <c r="C23" i="12"/>
  <c r="C22" i="12"/>
  <c r="C21" i="12"/>
  <c r="AE20" i="12"/>
  <c r="H43" i="12" s="1"/>
  <c r="C20" i="12"/>
  <c r="AI19" i="12"/>
  <c r="G47" i="12" s="1"/>
  <c r="AA19" i="12"/>
  <c r="G39" i="12" s="1"/>
  <c r="S19" i="12"/>
  <c r="G31" i="12" s="1"/>
  <c r="K19" i="12"/>
  <c r="G23" i="12" s="1"/>
  <c r="Z17" i="12"/>
  <c r="E38" i="12" s="1"/>
  <c r="F16" i="12"/>
  <c r="BH9" i="12"/>
  <c r="AI9" i="12"/>
  <c r="AH9" i="12"/>
  <c r="AG9" i="12"/>
  <c r="AF9" i="12"/>
  <c r="AE9" i="12"/>
  <c r="AD9" i="12"/>
  <c r="AC9"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BQ6" i="12"/>
  <c r="BP6" i="12"/>
  <c r="BO6" i="12"/>
  <c r="BN6" i="12"/>
  <c r="BM6" i="12"/>
  <c r="BL6" i="12"/>
  <c r="AF25" i="12" s="1"/>
  <c r="M44" i="12" s="1"/>
  <c r="BK6" i="12"/>
  <c r="BJ6" i="12"/>
  <c r="BI6" i="12"/>
  <c r="BH6" i="12"/>
  <c r="BG6" i="12"/>
  <c r="BF6" i="12"/>
  <c r="BE6" i="12"/>
  <c r="BD6" i="12"/>
  <c r="X25" i="12" s="1"/>
  <c r="M36" i="12" s="1"/>
  <c r="BC6" i="12"/>
  <c r="BB6" i="12"/>
  <c r="BA6" i="12"/>
  <c r="AZ6" i="12"/>
  <c r="AY6" i="12"/>
  <c r="AX6" i="12"/>
  <c r="AW6" i="12"/>
  <c r="AV6" i="12"/>
  <c r="AE28" i="12" s="1"/>
  <c r="P43" i="12" s="1"/>
  <c r="AU6" i="12"/>
  <c r="AT6" i="12"/>
  <c r="AS6" i="12"/>
  <c r="AR6" i="12"/>
  <c r="AQ6" i="12"/>
  <c r="AP6" i="12"/>
  <c r="AO6" i="12"/>
  <c r="AN6" i="12"/>
  <c r="W20" i="12" s="1"/>
  <c r="H35" i="12" s="1"/>
  <c r="AM6" i="12"/>
  <c r="AL6" i="12"/>
  <c r="AK6" i="12"/>
  <c r="AJ6" i="12"/>
  <c r="BQ5" i="12"/>
  <c r="BP5" i="12"/>
  <c r="BO5" i="12"/>
  <c r="BN5" i="12"/>
  <c r="AH37" i="12" s="1"/>
  <c r="Y46" i="12" s="1"/>
  <c r="BM5" i="12"/>
  <c r="BL5" i="12"/>
  <c r="BK5" i="12"/>
  <c r="BJ5" i="12"/>
  <c r="BI5" i="12"/>
  <c r="BH5" i="12"/>
  <c r="BG5" i="12"/>
  <c r="BF5" i="12"/>
  <c r="Z27" i="12" s="1"/>
  <c r="O38" i="12" s="1"/>
  <c r="BE5" i="12"/>
  <c r="BD5" i="12"/>
  <c r="BC5" i="12"/>
  <c r="BB5" i="12"/>
  <c r="BA5" i="12"/>
  <c r="AZ5" i="12"/>
  <c r="AY5" i="12"/>
  <c r="AX5" i="12"/>
  <c r="AA30" i="12" s="1"/>
  <c r="R39" i="12" s="1"/>
  <c r="AW5" i="12"/>
  <c r="AV5" i="12"/>
  <c r="AU5" i="12"/>
  <c r="AT5" i="12"/>
  <c r="AS5" i="12"/>
  <c r="AR5" i="12"/>
  <c r="AQ5" i="12"/>
  <c r="AP5" i="12"/>
  <c r="AG22" i="12" s="1"/>
  <c r="J45" i="12" s="1"/>
  <c r="AO5" i="12"/>
  <c r="AN5" i="12"/>
  <c r="AM5" i="12"/>
  <c r="AL5" i="12"/>
  <c r="AK5" i="12"/>
  <c r="AJ5" i="12"/>
  <c r="BQ4" i="12"/>
  <c r="BQ9" i="12" s="1"/>
  <c r="BP4" i="12"/>
  <c r="BP9" i="12" s="1"/>
  <c r="BO4" i="12"/>
  <c r="BN4" i="12"/>
  <c r="BM4" i="12"/>
  <c r="BL4" i="12"/>
  <c r="BK4" i="12"/>
  <c r="BJ4" i="12"/>
  <c r="BI4" i="12"/>
  <c r="BI9" i="12" s="1"/>
  <c r="BH4" i="12"/>
  <c r="AG40" i="12" s="1"/>
  <c r="AB45" i="12" s="1"/>
  <c r="BG4" i="12"/>
  <c r="BF4" i="12"/>
  <c r="BE4" i="12"/>
  <c r="BD4" i="12"/>
  <c r="BC4" i="12"/>
  <c r="BB4" i="12"/>
  <c r="BA4" i="12"/>
  <c r="BA9" i="12" s="1"/>
  <c r="AZ4" i="12"/>
  <c r="T21" i="12" s="1"/>
  <c r="I32" i="12" s="1"/>
  <c r="AY4" i="12"/>
  <c r="AX4" i="12"/>
  <c r="AW4" i="12"/>
  <c r="AV4" i="12"/>
  <c r="AU4" i="12"/>
  <c r="AT4" i="12"/>
  <c r="AS4" i="12"/>
  <c r="AS9" i="12" s="1"/>
  <c r="AR4" i="12"/>
  <c r="AI24" i="12" s="1"/>
  <c r="L47" i="12" s="1"/>
  <c r="AQ4" i="12"/>
  <c r="AP4" i="12"/>
  <c r="AO4" i="12"/>
  <c r="AN4" i="12"/>
  <c r="AM4" i="12"/>
  <c r="AL4" i="12"/>
  <c r="AK4" i="12"/>
  <c r="AK9" i="12" s="1"/>
  <c r="AJ4" i="12"/>
  <c r="AJ9" i="12" s="1"/>
  <c r="BQ3" i="12"/>
  <c r="BP3" i="12"/>
  <c r="BO3" i="12"/>
  <c r="BN3" i="12"/>
  <c r="BM3" i="12"/>
  <c r="AH45" i="12" s="1"/>
  <c r="AG46" i="12" s="1"/>
  <c r="BL3" i="12"/>
  <c r="BK3" i="12"/>
  <c r="BJ3" i="12"/>
  <c r="AD16" i="12" s="1"/>
  <c r="BI3" i="12"/>
  <c r="BH3" i="12"/>
  <c r="BG3" i="12"/>
  <c r="BF3" i="12"/>
  <c r="BE3" i="12"/>
  <c r="BD3" i="12"/>
  <c r="BC3" i="12"/>
  <c r="BB3" i="12"/>
  <c r="V16" i="12" s="1"/>
  <c r="BA3" i="12"/>
  <c r="AZ3" i="12"/>
  <c r="AY3" i="12"/>
  <c r="AX3" i="12"/>
  <c r="AW3" i="12"/>
  <c r="AD29" i="12" s="1"/>
  <c r="Q42" i="12" s="1"/>
  <c r="AV3" i="12"/>
  <c r="AU3" i="12"/>
  <c r="AG27" i="12" s="1"/>
  <c r="O45" i="12" s="1"/>
  <c r="AT3" i="12"/>
  <c r="N16" i="12" s="1"/>
  <c r="AS3" i="12"/>
  <c r="AE25" i="12" s="1"/>
  <c r="M43" i="12" s="1"/>
  <c r="AR3" i="12"/>
  <c r="AQ3" i="12"/>
  <c r="AK23" i="12" s="1"/>
  <c r="K49" i="12" s="1"/>
  <c r="AP3" i="12"/>
  <c r="AO3" i="12"/>
  <c r="AI21" i="12" s="1"/>
  <c r="I47" i="12" s="1"/>
  <c r="AN3" i="12"/>
  <c r="AM3" i="12"/>
  <c r="AH19" i="12" s="1"/>
  <c r="G46" i="12" s="1"/>
  <c r="AL3" i="12"/>
  <c r="N18" i="12" s="1"/>
  <c r="F26" i="12" s="1"/>
  <c r="AK3" i="12"/>
  <c r="AG17" i="12" s="1"/>
  <c r="E45" i="12" s="1"/>
  <c r="AJ3" i="12"/>
  <c r="AM22" i="11"/>
  <c r="AL22" i="11"/>
  <c r="AK22" i="11"/>
  <c r="AJ22" i="11"/>
  <c r="AI22" i="11"/>
  <c r="AH22" i="11"/>
  <c r="AG22" i="11"/>
  <c r="AF22" i="11"/>
  <c r="AE22" i="11"/>
  <c r="AD22" i="11"/>
  <c r="AC22" i="11"/>
  <c r="AB22" i="11"/>
  <c r="AA22" i="11"/>
  <c r="Z22" i="11"/>
  <c r="Y22" i="11"/>
  <c r="X22" i="11"/>
  <c r="W22" i="11"/>
  <c r="V22" i="11"/>
  <c r="U22" i="11"/>
  <c r="T22" i="11"/>
  <c r="S22" i="11"/>
  <c r="R22" i="11"/>
  <c r="Q22" i="11"/>
  <c r="P22" i="11"/>
  <c r="O22" i="11"/>
  <c r="N22" i="11"/>
  <c r="M22" i="11"/>
  <c r="L22" i="11"/>
  <c r="K22" i="11"/>
  <c r="J22" i="11"/>
  <c r="I22" i="11"/>
  <c r="H22" i="11"/>
  <c r="G22" i="11"/>
  <c r="F22" i="11"/>
  <c r="E22" i="11"/>
  <c r="D22" i="11"/>
  <c r="C22" i="11"/>
  <c r="B22" i="11"/>
  <c r="BY19" i="11"/>
  <c r="BX19" i="11"/>
  <c r="BW19" i="11"/>
  <c r="BV19" i="11"/>
  <c r="BU19" i="11"/>
  <c r="BT19" i="11"/>
  <c r="BS19" i="11"/>
  <c r="BR19" i="11"/>
  <c r="BQ19" i="11"/>
  <c r="BO19" i="11"/>
  <c r="BN19" i="11"/>
  <c r="BM19" i="11"/>
  <c r="BL19" i="11"/>
  <c r="BK19" i="11"/>
  <c r="BJ19" i="11"/>
  <c r="BI19" i="11"/>
  <c r="BH19" i="11"/>
  <c r="BG19" i="11"/>
  <c r="BF19" i="11"/>
  <c r="BE19" i="11"/>
  <c r="BD19" i="11"/>
  <c r="BC19" i="11"/>
  <c r="BB19" i="11"/>
  <c r="BA19" i="11"/>
  <c r="AZ19" i="11"/>
  <c r="AY19" i="11"/>
  <c r="AW19" i="11"/>
  <c r="AV19" i="11"/>
  <c r="AU19" i="11"/>
  <c r="AT19" i="11"/>
  <c r="AS19" i="11"/>
  <c r="AR19" i="11"/>
  <c r="AQ19" i="11"/>
  <c r="AP19" i="11"/>
  <c r="AN19" i="11"/>
  <c r="BY18" i="11"/>
  <c r="BX18" i="11"/>
  <c r="BW18" i="11"/>
  <c r="BV18" i="11"/>
  <c r="BU18" i="11"/>
  <c r="BT18" i="11"/>
  <c r="BS18" i="11"/>
  <c r="BR18" i="11"/>
  <c r="BQ18" i="11"/>
  <c r="BO18" i="11"/>
  <c r="BN18" i="11"/>
  <c r="BM18" i="11"/>
  <c r="BL18" i="11"/>
  <c r="BK18" i="11"/>
  <c r="BJ18" i="11"/>
  <c r="BI18" i="11"/>
  <c r="BH18" i="11"/>
  <c r="BG18" i="11"/>
  <c r="BF18" i="11"/>
  <c r="BE18" i="11"/>
  <c r="BD18" i="11"/>
  <c r="BC18" i="11"/>
  <c r="BB18" i="11"/>
  <c r="BA18" i="11"/>
  <c r="AZ18" i="11"/>
  <c r="AY18" i="11"/>
  <c r="AW18" i="11"/>
  <c r="AV18" i="11"/>
  <c r="AU18" i="11"/>
  <c r="AT18" i="11"/>
  <c r="AS18" i="11"/>
  <c r="AR18" i="11"/>
  <c r="AQ18" i="11"/>
  <c r="AP18" i="11"/>
  <c r="AN18" i="11"/>
  <c r="BY17" i="11"/>
  <c r="BX17" i="11"/>
  <c r="BW17" i="11"/>
  <c r="BV17" i="11"/>
  <c r="BU17" i="11"/>
  <c r="BT17" i="11"/>
  <c r="BS17" i="11"/>
  <c r="BR17" i="11"/>
  <c r="BQ17" i="11"/>
  <c r="BO17" i="11"/>
  <c r="BN17" i="11"/>
  <c r="BM17" i="11"/>
  <c r="BL17" i="11"/>
  <c r="BK17" i="11"/>
  <c r="BJ17" i="11"/>
  <c r="BI17" i="11"/>
  <c r="BH17" i="11"/>
  <c r="BG17" i="11"/>
  <c r="BF17" i="11"/>
  <c r="BE17" i="11"/>
  <c r="BD17" i="11"/>
  <c r="BC17" i="11"/>
  <c r="BB17" i="11"/>
  <c r="BA17" i="11"/>
  <c r="AZ17" i="11"/>
  <c r="AY17" i="11"/>
  <c r="AW17" i="11"/>
  <c r="AV17" i="11"/>
  <c r="AU17" i="11"/>
  <c r="AT17" i="11"/>
  <c r="AS17" i="11"/>
  <c r="AR17" i="11"/>
  <c r="AQ17" i="11"/>
  <c r="AP17" i="11"/>
  <c r="AN17" i="11"/>
  <c r="BY16" i="11"/>
  <c r="BX16" i="11"/>
  <c r="BW16" i="11"/>
  <c r="BV16" i="11"/>
  <c r="BU16" i="11"/>
  <c r="BT16" i="11"/>
  <c r="BS16" i="11"/>
  <c r="BR16" i="11"/>
  <c r="BQ16" i="11"/>
  <c r="BO16" i="11"/>
  <c r="BN16" i="11"/>
  <c r="BM16" i="11"/>
  <c r="BL16" i="11"/>
  <c r="BK16" i="11"/>
  <c r="BJ16" i="11"/>
  <c r="BI16" i="11"/>
  <c r="BH16" i="11"/>
  <c r="BG16" i="11"/>
  <c r="BF16" i="11"/>
  <c r="BE16" i="11"/>
  <c r="BD16" i="11"/>
  <c r="BC16" i="11"/>
  <c r="BB16" i="11"/>
  <c r="BA16" i="11"/>
  <c r="AZ16" i="11"/>
  <c r="AY16" i="11"/>
  <c r="AW16" i="11"/>
  <c r="AV16" i="11"/>
  <c r="AU16" i="11"/>
  <c r="AT16" i="11"/>
  <c r="AS16" i="11"/>
  <c r="AR16" i="11"/>
  <c r="AQ16" i="11"/>
  <c r="AP16" i="11"/>
  <c r="AN16" i="11"/>
  <c r="BY15" i="11"/>
  <c r="BX15" i="11"/>
  <c r="BW15" i="11"/>
  <c r="BV15" i="11"/>
  <c r="BU15" i="11"/>
  <c r="BT15" i="11"/>
  <c r="BS15" i="11"/>
  <c r="BR15" i="11"/>
  <c r="BQ15" i="11"/>
  <c r="BP15" i="11"/>
  <c r="BO15" i="11"/>
  <c r="BN15" i="11"/>
  <c r="BM15" i="11"/>
  <c r="BL15" i="11"/>
  <c r="BK15" i="11"/>
  <c r="BJ15" i="11"/>
  <c r="BI15" i="11"/>
  <c r="BH15" i="11"/>
  <c r="BG15" i="11"/>
  <c r="BF15" i="11"/>
  <c r="BE15" i="11"/>
  <c r="BD15" i="11"/>
  <c r="BC15" i="11"/>
  <c r="BB15" i="11"/>
  <c r="BA15" i="11"/>
  <c r="AZ15" i="11"/>
  <c r="AY15" i="11"/>
  <c r="AW15" i="11"/>
  <c r="AV15" i="11"/>
  <c r="AU15" i="11"/>
  <c r="AT15" i="11"/>
  <c r="AS15" i="11"/>
  <c r="AR15" i="11"/>
  <c r="AQ15" i="11"/>
  <c r="AP15" i="11"/>
  <c r="AN15" i="11"/>
  <c r="BY14" i="11"/>
  <c r="BX14" i="11"/>
  <c r="BW14" i="11"/>
  <c r="BV14" i="11"/>
  <c r="BU14" i="11"/>
  <c r="BT14" i="11"/>
  <c r="BS14" i="11"/>
  <c r="BR14" i="11"/>
  <c r="BQ14" i="11"/>
  <c r="BP14" i="11"/>
  <c r="BO14" i="11"/>
  <c r="BN14" i="11"/>
  <c r="BM14" i="11"/>
  <c r="BL14" i="11"/>
  <c r="BK14" i="11"/>
  <c r="BJ14" i="11"/>
  <c r="BI14" i="11"/>
  <c r="BH14" i="11"/>
  <c r="BG14" i="11"/>
  <c r="BF14" i="11"/>
  <c r="BE14" i="11"/>
  <c r="BD14" i="11"/>
  <c r="BC14" i="11"/>
  <c r="BB14" i="11"/>
  <c r="BA14" i="11"/>
  <c r="AZ14" i="11"/>
  <c r="AY14" i="11"/>
  <c r="AW14" i="11"/>
  <c r="AV14" i="11"/>
  <c r="AU14" i="11"/>
  <c r="AT14" i="11"/>
  <c r="AS14" i="11"/>
  <c r="AR14" i="11"/>
  <c r="AQ14" i="11"/>
  <c r="AP14" i="11"/>
  <c r="AN14" i="11"/>
  <c r="BY13" i="11"/>
  <c r="BX13" i="11"/>
  <c r="BW13" i="11"/>
  <c r="BV13" i="11"/>
  <c r="BU13" i="11"/>
  <c r="BT13" i="11"/>
  <c r="BS13" i="11"/>
  <c r="BR13" i="11"/>
  <c r="BQ13" i="11"/>
  <c r="BP13" i="11"/>
  <c r="BO13" i="11"/>
  <c r="BN13" i="11"/>
  <c r="BM13" i="11"/>
  <c r="BL13" i="11"/>
  <c r="BK13" i="11"/>
  <c r="BJ13" i="11"/>
  <c r="BI13" i="11"/>
  <c r="BH13" i="11"/>
  <c r="BG13" i="11"/>
  <c r="BF13" i="11"/>
  <c r="BE13" i="11"/>
  <c r="BD13" i="11"/>
  <c r="BC13" i="11"/>
  <c r="BB13" i="11"/>
  <c r="BA13" i="11"/>
  <c r="AZ13" i="11"/>
  <c r="AY13" i="11"/>
  <c r="AW13" i="11"/>
  <c r="AV13" i="11"/>
  <c r="AU13" i="11"/>
  <c r="AT13" i="11"/>
  <c r="AS13" i="11"/>
  <c r="AR13" i="11"/>
  <c r="AQ13" i="11"/>
  <c r="AP13" i="11"/>
  <c r="AN13" i="11"/>
  <c r="BY12" i="11"/>
  <c r="BX12" i="11"/>
  <c r="BW12" i="11"/>
  <c r="BV12" i="11"/>
  <c r="BU12" i="11"/>
  <c r="BT12" i="11"/>
  <c r="BS12" i="11"/>
  <c r="BR12" i="11"/>
  <c r="BQ12" i="11"/>
  <c r="BP12" i="11"/>
  <c r="BO12" i="11"/>
  <c r="BN12" i="11"/>
  <c r="BM12" i="11"/>
  <c r="BL12" i="11"/>
  <c r="BK12" i="11"/>
  <c r="BJ12" i="11"/>
  <c r="BI12" i="11"/>
  <c r="BH12" i="11"/>
  <c r="BG12" i="11"/>
  <c r="BF12" i="11"/>
  <c r="BE12" i="11"/>
  <c r="BD12" i="11"/>
  <c r="BC12" i="11"/>
  <c r="BB12" i="11"/>
  <c r="BA12" i="11"/>
  <c r="AZ12" i="11"/>
  <c r="AY12" i="11"/>
  <c r="AW12" i="11"/>
  <c r="AV12" i="11"/>
  <c r="AU12" i="11"/>
  <c r="AT12" i="11"/>
  <c r="AS12" i="11"/>
  <c r="AR12" i="11"/>
  <c r="AQ12" i="11"/>
  <c r="AP12" i="11"/>
  <c r="AN12" i="11"/>
  <c r="BY11" i="11"/>
  <c r="BX11" i="11"/>
  <c r="BW11" i="11"/>
  <c r="BV11" i="11"/>
  <c r="BU11" i="11"/>
  <c r="BT11" i="11"/>
  <c r="BS11" i="11"/>
  <c r="BR11" i="11"/>
  <c r="BQ11" i="11"/>
  <c r="BP11" i="11"/>
  <c r="BO11" i="11"/>
  <c r="BN11" i="11"/>
  <c r="BM11" i="11"/>
  <c r="BL11" i="11"/>
  <c r="BK11" i="11"/>
  <c r="BJ11" i="11"/>
  <c r="BI11" i="11"/>
  <c r="BH11" i="11"/>
  <c r="BG11" i="11"/>
  <c r="BF11" i="11"/>
  <c r="BE11" i="11"/>
  <c r="BD11" i="11"/>
  <c r="BC11" i="11"/>
  <c r="BB11" i="11"/>
  <c r="BA11" i="11"/>
  <c r="AZ11" i="11"/>
  <c r="AY11" i="11"/>
  <c r="AW11" i="11"/>
  <c r="AV11" i="11"/>
  <c r="AU11" i="11"/>
  <c r="AT11" i="11"/>
  <c r="AS11" i="11"/>
  <c r="AR11" i="11"/>
  <c r="AQ11" i="11"/>
  <c r="AP11" i="11"/>
  <c r="AN11" i="11"/>
  <c r="BY10" i="11"/>
  <c r="BX10" i="11"/>
  <c r="BW10" i="11"/>
  <c r="BV10" i="11"/>
  <c r="BU10" i="11"/>
  <c r="BT10" i="11"/>
  <c r="BS10" i="11"/>
  <c r="BR10" i="11"/>
  <c r="BQ10" i="11"/>
  <c r="BP10" i="11"/>
  <c r="BO10" i="11"/>
  <c r="BN10" i="11"/>
  <c r="BM10" i="11"/>
  <c r="BL10" i="11"/>
  <c r="BK10" i="11"/>
  <c r="BJ10" i="11"/>
  <c r="BI10" i="11"/>
  <c r="BH10" i="11"/>
  <c r="BG10" i="11"/>
  <c r="BF10" i="11"/>
  <c r="BE10" i="11"/>
  <c r="BD10" i="11"/>
  <c r="BC10" i="11"/>
  <c r="BB10" i="11"/>
  <c r="BA10" i="11"/>
  <c r="AZ10" i="11"/>
  <c r="AY10" i="11"/>
  <c r="AW10" i="11"/>
  <c r="AV10" i="11"/>
  <c r="AU10" i="11"/>
  <c r="AT10" i="11"/>
  <c r="AS10" i="11"/>
  <c r="AR10" i="11"/>
  <c r="AQ10" i="11"/>
  <c r="AP10" i="11"/>
  <c r="AN10" i="11"/>
  <c r="BY9" i="11"/>
  <c r="BX9" i="11"/>
  <c r="BW9" i="11"/>
  <c r="BV9" i="11"/>
  <c r="BU9" i="11"/>
  <c r="BT9" i="11"/>
  <c r="BS9" i="11"/>
  <c r="BR9" i="11"/>
  <c r="BQ9" i="11"/>
  <c r="BP9" i="11"/>
  <c r="BO9" i="11"/>
  <c r="BN9" i="11"/>
  <c r="BM9" i="11"/>
  <c r="BL9" i="11"/>
  <c r="BK9" i="11"/>
  <c r="BJ9" i="11"/>
  <c r="BI9" i="11"/>
  <c r="BH9" i="11"/>
  <c r="BG9" i="11"/>
  <c r="BF9" i="11"/>
  <c r="BE9" i="11"/>
  <c r="BD9" i="11"/>
  <c r="BC9" i="11"/>
  <c r="BB9" i="11"/>
  <c r="BA9" i="11"/>
  <c r="AZ9" i="11"/>
  <c r="AY9" i="11"/>
  <c r="AW9" i="11"/>
  <c r="AV9" i="11"/>
  <c r="AU9" i="11"/>
  <c r="AT9" i="11"/>
  <c r="AS9" i="11"/>
  <c r="AR9" i="11"/>
  <c r="AQ9" i="11"/>
  <c r="AP9" i="11"/>
  <c r="AO9" i="11"/>
  <c r="AN9" i="11"/>
  <c r="BY8" i="11"/>
  <c r="BX8" i="11"/>
  <c r="BW8" i="11"/>
  <c r="BV8" i="11"/>
  <c r="BU8" i="11"/>
  <c r="BT8" i="11"/>
  <c r="BS8" i="11"/>
  <c r="BR8" i="11"/>
  <c r="BQ8" i="11"/>
  <c r="BP8" i="11"/>
  <c r="BO8" i="11"/>
  <c r="BN8" i="11"/>
  <c r="BM8" i="11"/>
  <c r="BL8" i="11"/>
  <c r="BK8" i="11"/>
  <c r="BJ8" i="11"/>
  <c r="BI8" i="11"/>
  <c r="BH8" i="11"/>
  <c r="BG8" i="11"/>
  <c r="BF8" i="11"/>
  <c r="BE8" i="11"/>
  <c r="BD8" i="11"/>
  <c r="BC8" i="11"/>
  <c r="BB8" i="11"/>
  <c r="BA8" i="11"/>
  <c r="AZ8" i="11"/>
  <c r="AY8" i="11"/>
  <c r="AW8" i="11"/>
  <c r="AV8" i="11"/>
  <c r="AU8" i="11"/>
  <c r="AT8" i="11"/>
  <c r="AS8" i="11"/>
  <c r="AR8" i="11"/>
  <c r="AQ8" i="11"/>
  <c r="AP8" i="11"/>
  <c r="AO8" i="11"/>
  <c r="AN8" i="11"/>
  <c r="BY7" i="11"/>
  <c r="BX7" i="11"/>
  <c r="BW7" i="11"/>
  <c r="BV7" i="11"/>
  <c r="BU7" i="11"/>
  <c r="BT7" i="11"/>
  <c r="BS7" i="11"/>
  <c r="BR7" i="11"/>
  <c r="BQ7" i="11"/>
  <c r="BP7" i="11"/>
  <c r="BO7" i="11"/>
  <c r="BN7" i="11"/>
  <c r="BM7" i="11"/>
  <c r="BL7" i="11"/>
  <c r="BK7" i="11"/>
  <c r="BJ7" i="11"/>
  <c r="BI7" i="11"/>
  <c r="BH7" i="11"/>
  <c r="BG7" i="11"/>
  <c r="BF7" i="11"/>
  <c r="BE7" i="11"/>
  <c r="BD7" i="11"/>
  <c r="BC7" i="11"/>
  <c r="BB7" i="11"/>
  <c r="BA7" i="11"/>
  <c r="AZ7" i="11"/>
  <c r="AY7" i="11"/>
  <c r="AW7" i="11"/>
  <c r="AV7" i="11"/>
  <c r="AU7" i="11"/>
  <c r="AT7" i="11"/>
  <c r="AS7" i="11"/>
  <c r="AR7" i="11"/>
  <c r="AQ7" i="11"/>
  <c r="AP7" i="11"/>
  <c r="AO7" i="11"/>
  <c r="AN7" i="11"/>
  <c r="BY6" i="11"/>
  <c r="BX6" i="11"/>
  <c r="BW6" i="11"/>
  <c r="BV6" i="11"/>
  <c r="BU6" i="11"/>
  <c r="BT6" i="11"/>
  <c r="BS6" i="11"/>
  <c r="BR6" i="11"/>
  <c r="BQ6" i="11"/>
  <c r="BP6" i="11"/>
  <c r="BO6" i="11"/>
  <c r="BN6" i="11"/>
  <c r="BM6" i="11"/>
  <c r="BL6" i="11"/>
  <c r="BK6" i="11"/>
  <c r="BJ6" i="11"/>
  <c r="BI6" i="11"/>
  <c r="BH6" i="11"/>
  <c r="BG6" i="11"/>
  <c r="BF6" i="11"/>
  <c r="BE6" i="11"/>
  <c r="BD6" i="11"/>
  <c r="BC6" i="11"/>
  <c r="BB6" i="11"/>
  <c r="BA6" i="11"/>
  <c r="AZ6" i="11"/>
  <c r="AY6" i="11"/>
  <c r="AW6" i="11"/>
  <c r="AV6" i="11"/>
  <c r="AU6" i="11"/>
  <c r="AT6" i="11"/>
  <c r="AS6" i="11"/>
  <c r="AR6" i="11"/>
  <c r="AQ6" i="11"/>
  <c r="AP6" i="11"/>
  <c r="AO6" i="11"/>
  <c r="AN6" i="11"/>
  <c r="BY5" i="11"/>
  <c r="BX5" i="11"/>
  <c r="BW5" i="11"/>
  <c r="BV5" i="11"/>
  <c r="BU5" i="11"/>
  <c r="BT5" i="11"/>
  <c r="BS5" i="11"/>
  <c r="BR5" i="11"/>
  <c r="BQ5" i="11"/>
  <c r="BP5" i="11"/>
  <c r="BO5" i="11"/>
  <c r="BN5" i="11"/>
  <c r="BM5" i="11"/>
  <c r="BL5" i="11"/>
  <c r="BK5" i="11"/>
  <c r="BJ5" i="11"/>
  <c r="BI5" i="11"/>
  <c r="BH5" i="11"/>
  <c r="BG5" i="11"/>
  <c r="BF5" i="11"/>
  <c r="BE5" i="11"/>
  <c r="BD5" i="11"/>
  <c r="BC5" i="11"/>
  <c r="BB5" i="11"/>
  <c r="BA5" i="11"/>
  <c r="AZ5" i="11"/>
  <c r="AY5" i="11"/>
  <c r="AW5" i="11"/>
  <c r="AV5" i="11"/>
  <c r="AU5" i="11"/>
  <c r="AT5" i="11"/>
  <c r="AS5" i="11"/>
  <c r="AR5" i="11"/>
  <c r="AQ5" i="11"/>
  <c r="AP5" i="11"/>
  <c r="AO5" i="11"/>
  <c r="AN5" i="11"/>
  <c r="BY4" i="11"/>
  <c r="BX4" i="11"/>
  <c r="BW4" i="11"/>
  <c r="BV4" i="11"/>
  <c r="BU4" i="11"/>
  <c r="BT4" i="11"/>
  <c r="BS4" i="11"/>
  <c r="BR4" i="11"/>
  <c r="BQ4" i="11"/>
  <c r="BP4" i="11"/>
  <c r="BO4" i="11"/>
  <c r="BN4" i="11"/>
  <c r="BM4" i="11"/>
  <c r="BL4" i="11"/>
  <c r="BK4" i="11"/>
  <c r="BJ4" i="11"/>
  <c r="BI4" i="11"/>
  <c r="BH4" i="11"/>
  <c r="BG4" i="11"/>
  <c r="BF4" i="11"/>
  <c r="BE4" i="11"/>
  <c r="BD4" i="11"/>
  <c r="BC4" i="11"/>
  <c r="BB4" i="11"/>
  <c r="BA4" i="11"/>
  <c r="AZ4" i="11"/>
  <c r="AY4" i="11"/>
  <c r="AX4" i="11"/>
  <c r="AW4" i="11"/>
  <c r="AV4" i="11"/>
  <c r="AU4" i="11"/>
  <c r="AT4" i="11"/>
  <c r="AS4" i="11"/>
  <c r="AR4" i="11"/>
  <c r="AQ4" i="11"/>
  <c r="AP4" i="11"/>
  <c r="AO4" i="11"/>
  <c r="AN4" i="11"/>
  <c r="BY3" i="11"/>
  <c r="BX3" i="11"/>
  <c r="BW3" i="11"/>
  <c r="BV3" i="11"/>
  <c r="BU3" i="11"/>
  <c r="BT3" i="11"/>
  <c r="BS3" i="11"/>
  <c r="BR3" i="11"/>
  <c r="BQ3" i="11"/>
  <c r="BP3" i="11"/>
  <c r="BO3" i="11"/>
  <c r="BN3" i="11"/>
  <c r="BM3" i="11"/>
  <c r="BL3" i="11"/>
  <c r="BK3" i="11"/>
  <c r="BJ3" i="11"/>
  <c r="BI3" i="11"/>
  <c r="BH3" i="11"/>
  <c r="BG3" i="11"/>
  <c r="BF3" i="11"/>
  <c r="BE3" i="11"/>
  <c r="BD3" i="11"/>
  <c r="BC3" i="11"/>
  <c r="BB3" i="11"/>
  <c r="BA3" i="11"/>
  <c r="AZ3" i="11"/>
  <c r="AY3" i="11"/>
  <c r="AX3" i="11"/>
  <c r="AW3" i="11"/>
  <c r="AV3" i="11"/>
  <c r="AU3" i="11"/>
  <c r="AT3" i="11"/>
  <c r="AS3" i="11"/>
  <c r="AR3" i="11"/>
  <c r="AQ3" i="11"/>
  <c r="AP3" i="11"/>
  <c r="AO3" i="11"/>
  <c r="AN3" i="11"/>
  <c r="AP15" i="12" l="1"/>
  <c r="AP16" i="12"/>
  <c r="C18" i="12"/>
  <c r="C19" i="12"/>
  <c r="BQ11" i="12" s="1"/>
  <c r="AL39" i="11"/>
  <c r="N63" i="11" s="1"/>
  <c r="R31" i="11"/>
  <c r="F43" i="11" s="1"/>
  <c r="X38" i="11"/>
  <c r="M49" i="11" s="1"/>
  <c r="AM46" i="11"/>
  <c r="U64" i="11" s="1"/>
  <c r="N33" i="11"/>
  <c r="H39" i="11" s="1"/>
  <c r="V34" i="11"/>
  <c r="I47" i="11" s="1"/>
  <c r="V42" i="11"/>
  <c r="Q47" i="11" s="1"/>
  <c r="AO59" i="11"/>
  <c r="AH66" i="11" s="1"/>
  <c r="X36" i="11"/>
  <c r="K49" i="11" s="1"/>
  <c r="AI44" i="11"/>
  <c r="S60" i="11" s="1"/>
  <c r="AH35" i="11"/>
  <c r="J59" i="11" s="1"/>
  <c r="AC29" i="11"/>
  <c r="D54" i="11" s="1"/>
  <c r="AJ38" i="11"/>
  <c r="M61" i="11" s="1"/>
  <c r="AG39" i="11"/>
  <c r="N58" i="11" s="1"/>
  <c r="F31" i="11"/>
  <c r="AE35" i="11"/>
  <c r="J56" i="11" s="1"/>
  <c r="AN32" i="11"/>
  <c r="G65" i="11" s="1"/>
  <c r="AE56" i="11"/>
  <c r="Q41" i="11"/>
  <c r="P42" i="11" s="1"/>
  <c r="AO49" i="11"/>
  <c r="X66" i="11" s="1"/>
  <c r="W32" i="11"/>
  <c r="G48" i="11" s="1"/>
  <c r="V39" i="11"/>
  <c r="N47" i="11" s="1"/>
  <c r="Z46" i="11"/>
  <c r="U51" i="11" s="1"/>
  <c r="AN29" i="11"/>
  <c r="D65" i="11" s="1"/>
  <c r="AA48" i="11"/>
  <c r="W52" i="11" s="1"/>
  <c r="AM49" i="11"/>
  <c r="X64" i="11" s="1"/>
  <c r="AG33" i="11"/>
  <c r="H58" i="11" s="1"/>
  <c r="AG32" i="11"/>
  <c r="G58" i="11" s="1"/>
  <c r="AB40" i="11"/>
  <c r="O53" i="11" s="1"/>
  <c r="AG34" i="11"/>
  <c r="I58" i="11" s="1"/>
  <c r="AB43" i="11"/>
  <c r="R53" i="11" s="1"/>
  <c r="AH40" i="11"/>
  <c r="O59" i="11" s="1"/>
  <c r="AB29" i="11"/>
  <c r="D53" i="11" s="1"/>
  <c r="AL37" i="11"/>
  <c r="L63" i="11" s="1"/>
  <c r="AC45" i="11"/>
  <c r="T54" i="11" s="1"/>
  <c r="AJ47" i="11"/>
  <c r="V61" i="11" s="1"/>
  <c r="AG31" i="11"/>
  <c r="F58" i="11" s="1"/>
  <c r="AD48" i="11"/>
  <c r="W55" i="11" s="1"/>
  <c r="AM56" i="11"/>
  <c r="AE64" i="11" s="1"/>
  <c r="AA33" i="11"/>
  <c r="H52" i="11" s="1"/>
  <c r="AI34" i="11"/>
  <c r="I60" i="11" s="1"/>
  <c r="AC30" i="11"/>
  <c r="E54" i="11" s="1"/>
  <c r="Y38" i="11"/>
  <c r="M50" i="11" s="1"/>
  <c r="U41" i="11"/>
  <c r="P46" i="11" s="1"/>
  <c r="AK34" i="11"/>
  <c r="I62" i="11" s="1"/>
  <c r="AN42" i="11"/>
  <c r="Q65" i="11" s="1"/>
  <c r="AD50" i="11"/>
  <c r="Y55" i="11" s="1"/>
  <c r="AO33" i="11"/>
  <c r="H66" i="11" s="1"/>
  <c r="AO42" i="11"/>
  <c r="Q66" i="11" s="1"/>
  <c r="AO66" i="11"/>
  <c r="E30" i="11"/>
  <c r="S31" i="11"/>
  <c r="F44" i="11" s="1"/>
  <c r="AI32" i="11"/>
  <c r="G60" i="11" s="1"/>
  <c r="W34" i="11"/>
  <c r="I48" i="11" s="1"/>
  <c r="T37" i="11"/>
  <c r="L45" i="11" s="1"/>
  <c r="AN38" i="11"/>
  <c r="M65" i="11" s="1"/>
  <c r="AL52" i="11"/>
  <c r="AA63" i="11" s="1"/>
  <c r="O30" i="11"/>
  <c r="E40" i="11" s="1"/>
  <c r="AD31" i="11"/>
  <c r="F55" i="11" s="1"/>
  <c r="M33" i="11"/>
  <c r="H38" i="11" s="1"/>
  <c r="W37" i="11"/>
  <c r="L48" i="11" s="1"/>
  <c r="R40" i="11"/>
  <c r="O43" i="11" s="1"/>
  <c r="AN53" i="11"/>
  <c r="AB65" i="11" s="1"/>
  <c r="AL51" i="11"/>
  <c r="Z63" i="11" s="1"/>
  <c r="AD51" i="11"/>
  <c r="Z55" i="11" s="1"/>
  <c r="AK51" i="11"/>
  <c r="Z62" i="11" s="1"/>
  <c r="AC51" i="11"/>
  <c r="Z54" i="11" s="1"/>
  <c r="AF51" i="11"/>
  <c r="Z57" i="11" s="1"/>
  <c r="AO51" i="11"/>
  <c r="Z66" i="11" s="1"/>
  <c r="AE51" i="11"/>
  <c r="Z56" i="11" s="1"/>
  <c r="AM51" i="11"/>
  <c r="Z64" i="11" s="1"/>
  <c r="AA51" i="11"/>
  <c r="Z52" i="11" s="1"/>
  <c r="AN51" i="11"/>
  <c r="Z65" i="11" s="1"/>
  <c r="Z34" i="11"/>
  <c r="I51" i="11" s="1"/>
  <c r="AJ51" i="11"/>
  <c r="Z61" i="11" s="1"/>
  <c r="AA45" i="11"/>
  <c r="T52" i="11" s="1"/>
  <c r="Z31" i="11"/>
  <c r="F51" i="11" s="1"/>
  <c r="AG51" i="11"/>
  <c r="Z58" i="11" s="1"/>
  <c r="Z51" i="11"/>
  <c r="AI51" i="11"/>
  <c r="Z60" i="11" s="1"/>
  <c r="AH51" i="11"/>
  <c r="Z59" i="11" s="1"/>
  <c r="Z39" i="11"/>
  <c r="N51" i="11" s="1"/>
  <c r="AB51" i="11"/>
  <c r="Z53" i="11" s="1"/>
  <c r="X32" i="11"/>
  <c r="G49" i="11" s="1"/>
  <c r="AN65" i="11"/>
  <c r="D29" i="11"/>
  <c r="P30" i="11"/>
  <c r="E41" i="11" s="1"/>
  <c r="AK37" i="11"/>
  <c r="L62" i="11" s="1"/>
  <c r="AL35" i="11"/>
  <c r="J63" i="11" s="1"/>
  <c r="AD35" i="11"/>
  <c r="J55" i="11" s="1"/>
  <c r="V35" i="11"/>
  <c r="J47" i="11" s="1"/>
  <c r="N35" i="11"/>
  <c r="J39" i="11" s="1"/>
  <c r="AG35" i="11"/>
  <c r="J58" i="11" s="1"/>
  <c r="X35" i="11"/>
  <c r="J49" i="11" s="1"/>
  <c r="O35" i="11"/>
  <c r="J40" i="11" s="1"/>
  <c r="AO35" i="11"/>
  <c r="J66" i="11" s="1"/>
  <c r="AF35" i="11"/>
  <c r="J57" i="11" s="1"/>
  <c r="W35" i="11"/>
  <c r="J48" i="11" s="1"/>
  <c r="M35" i="11"/>
  <c r="J38" i="11" s="1"/>
  <c r="AM35" i="11"/>
  <c r="J64" i="11" s="1"/>
  <c r="AC35" i="11"/>
  <c r="J54" i="11" s="1"/>
  <c r="T35" i="11"/>
  <c r="J45" i="11" s="1"/>
  <c r="K35" i="11"/>
  <c r="J36" i="11" s="1"/>
  <c r="AB35" i="11"/>
  <c r="J53" i="11" s="1"/>
  <c r="P35" i="11"/>
  <c r="J41" i="11" s="1"/>
  <c r="J34" i="11"/>
  <c r="I35" i="11" s="1"/>
  <c r="AA35" i="11"/>
  <c r="J52" i="11" s="1"/>
  <c r="L35" i="11"/>
  <c r="J37" i="11" s="1"/>
  <c r="AN35" i="11"/>
  <c r="J65" i="11" s="1"/>
  <c r="J35" i="11"/>
  <c r="U35" i="11"/>
  <c r="J46" i="11" s="1"/>
  <c r="AI35" i="11"/>
  <c r="J60" i="11" s="1"/>
  <c r="Z35" i="11"/>
  <c r="J51" i="11" s="1"/>
  <c r="AJ35" i="11"/>
  <c r="J61" i="11" s="1"/>
  <c r="S35" i="11"/>
  <c r="J44" i="11" s="1"/>
  <c r="AK35" i="11"/>
  <c r="J62" i="11" s="1"/>
  <c r="Y35" i="11"/>
  <c r="J50" i="11" s="1"/>
  <c r="J31" i="11"/>
  <c r="F35" i="11" s="1"/>
  <c r="AC42" i="11"/>
  <c r="Q54" i="11" s="1"/>
  <c r="AC54" i="11"/>
  <c r="AD54" i="11"/>
  <c r="AC55" i="11" s="1"/>
  <c r="AD45" i="11"/>
  <c r="T55" i="11" s="1"/>
  <c r="AK48" i="11"/>
  <c r="W62" i="11" s="1"/>
  <c r="AK47" i="11"/>
  <c r="V62" i="11" s="1"/>
  <c r="AK58" i="11"/>
  <c r="AG62" i="11" s="1"/>
  <c r="AK40" i="11"/>
  <c r="O62" i="11" s="1"/>
  <c r="AE49" i="11"/>
  <c r="X56" i="11" s="1"/>
  <c r="X49" i="11"/>
  <c r="X42" i="11"/>
  <c r="Q49" i="11" s="1"/>
  <c r="AN49" i="11"/>
  <c r="X65" i="11" s="1"/>
  <c r="AF49" i="11"/>
  <c r="X57" i="11" s="1"/>
  <c r="AN57" i="11"/>
  <c r="AF65" i="11" s="1"/>
  <c r="AF55" i="11"/>
  <c r="AD57" i="11" s="1"/>
  <c r="AI37" i="11"/>
  <c r="L60" i="11" s="1"/>
  <c r="Q31" i="11"/>
  <c r="F42" i="11" s="1"/>
  <c r="AD42" i="11"/>
  <c r="Q55" i="11" s="1"/>
  <c r="AL57" i="11"/>
  <c r="AF63" i="11" s="1"/>
  <c r="AN33" i="11"/>
  <c r="H65" i="11" s="1"/>
  <c r="AE50" i="11"/>
  <c r="Y56" i="11" s="1"/>
  <c r="AO34" i="11"/>
  <c r="I66" i="11" s="1"/>
  <c r="N29" i="11"/>
  <c r="D39" i="11" s="1"/>
  <c r="H32" i="11"/>
  <c r="G33" i="11" s="1"/>
  <c r="S39" i="11"/>
  <c r="N44" i="11" s="1"/>
  <c r="S44" i="11"/>
  <c r="AL56" i="11"/>
  <c r="AE63" i="11" s="1"/>
  <c r="AN43" i="11"/>
  <c r="R65" i="11" s="1"/>
  <c r="AF43" i="11"/>
  <c r="R57" i="11" s="1"/>
  <c r="X43" i="11"/>
  <c r="R49" i="11" s="1"/>
  <c r="AM43" i="11"/>
  <c r="R64" i="11" s="1"/>
  <c r="AE43" i="11"/>
  <c r="R56" i="11" s="1"/>
  <c r="W43" i="11"/>
  <c r="R48" i="11" s="1"/>
  <c r="AD43" i="11"/>
  <c r="R55" i="11" s="1"/>
  <c r="T43" i="11"/>
  <c r="R45" i="11" s="1"/>
  <c r="AO43" i="11"/>
  <c r="R66" i="11" s="1"/>
  <c r="AC43" i="11"/>
  <c r="R54" i="11" s="1"/>
  <c r="S43" i="11"/>
  <c r="R44" i="11" s="1"/>
  <c r="AK43" i="11"/>
  <c r="R62" i="11" s="1"/>
  <c r="AA43" i="11"/>
  <c r="R52" i="11" s="1"/>
  <c r="Z43" i="11"/>
  <c r="R51" i="11" s="1"/>
  <c r="R43" i="11"/>
  <c r="Y43" i="11"/>
  <c r="R50" i="11" s="1"/>
  <c r="R42" i="11"/>
  <c r="Q43" i="11" s="1"/>
  <c r="R30" i="11"/>
  <c r="E43" i="11" s="1"/>
  <c r="AG43" i="11"/>
  <c r="R58" i="11" s="1"/>
  <c r="AL43" i="11"/>
  <c r="R63" i="11" s="1"/>
  <c r="V43" i="11"/>
  <c r="R47" i="11" s="1"/>
  <c r="AH43" i="11"/>
  <c r="R59" i="11" s="1"/>
  <c r="AJ43" i="11"/>
  <c r="R61" i="11" s="1"/>
  <c r="U43" i="11"/>
  <c r="R46" i="11" s="1"/>
  <c r="AI43" i="11"/>
  <c r="R60" i="11" s="1"/>
  <c r="AJ36" i="11"/>
  <c r="K61" i="11" s="1"/>
  <c r="AB36" i="11"/>
  <c r="K53" i="11" s="1"/>
  <c r="T36" i="11"/>
  <c r="K45" i="11" s="1"/>
  <c r="AI36" i="11"/>
  <c r="K60" i="11" s="1"/>
  <c r="AA36" i="11"/>
  <c r="K52" i="11" s="1"/>
  <c r="S36" i="11"/>
  <c r="K44" i="11" s="1"/>
  <c r="K36" i="11"/>
  <c r="AL36" i="11"/>
  <c r="K63" i="11" s="1"/>
  <c r="Z36" i="11"/>
  <c r="K51" i="11" s="1"/>
  <c r="P36" i="11"/>
  <c r="K41" i="11" s="1"/>
  <c r="AK36" i="11"/>
  <c r="K62" i="11" s="1"/>
  <c r="Y36" i="11"/>
  <c r="K50" i="11" s="1"/>
  <c r="O36" i="11"/>
  <c r="K40" i="11" s="1"/>
  <c r="AG36" i="11"/>
  <c r="K58" i="11" s="1"/>
  <c r="W36" i="11"/>
  <c r="K48" i="11" s="1"/>
  <c r="M36" i="11"/>
  <c r="K38" i="11" s="1"/>
  <c r="AN36" i="11"/>
  <c r="K65" i="11" s="1"/>
  <c r="V36" i="11"/>
  <c r="K47" i="11" s="1"/>
  <c r="L36" i="11"/>
  <c r="K37" i="11" s="1"/>
  <c r="AM36" i="11"/>
  <c r="K64" i="11" s="1"/>
  <c r="U36" i="11"/>
  <c r="K46" i="11" s="1"/>
  <c r="AH36" i="11"/>
  <c r="K59" i="11" s="1"/>
  <c r="AE36" i="11"/>
  <c r="K56" i="11" s="1"/>
  <c r="R36" i="11"/>
  <c r="K43" i="11" s="1"/>
  <c r="K32" i="11"/>
  <c r="G36" i="11" s="1"/>
  <c r="AF36" i="11"/>
  <c r="K57" i="11" s="1"/>
  <c r="Q36" i="11"/>
  <c r="K42" i="11" s="1"/>
  <c r="K31" i="11"/>
  <c r="F36" i="11" s="1"/>
  <c r="N36" i="11"/>
  <c r="K39" i="11" s="1"/>
  <c r="AD36" i="11"/>
  <c r="K55" i="11" s="1"/>
  <c r="AE30" i="11"/>
  <c r="E56" i="11" s="1"/>
  <c r="F30" i="11"/>
  <c r="E31" i="11" s="1"/>
  <c r="T31" i="11"/>
  <c r="F45" i="11" s="1"/>
  <c r="AE46" i="11"/>
  <c r="U56" i="11" s="1"/>
  <c r="AK50" i="11"/>
  <c r="Y62" i="11" s="1"/>
  <c r="AM40" i="11"/>
  <c r="O64" i="11" s="1"/>
  <c r="P29" i="11"/>
  <c r="D41" i="11" s="1"/>
  <c r="AD30" i="11"/>
  <c r="E55" i="11" s="1"/>
  <c r="I32" i="11"/>
  <c r="G34" i="11" s="1"/>
  <c r="AD33" i="11"/>
  <c r="H55" i="11" s="1"/>
  <c r="Q35" i="11"/>
  <c r="J42" i="11" s="1"/>
  <c r="AC36" i="11"/>
  <c r="K54" i="11" s="1"/>
  <c r="AD49" i="11"/>
  <c r="X55" i="11" s="1"/>
  <c r="AM59" i="11"/>
  <c r="AH64" i="11" s="1"/>
  <c r="AL59" i="11"/>
  <c r="AH63" i="11" s="1"/>
  <c r="AK59" i="11"/>
  <c r="AH62" i="11" s="1"/>
  <c r="AI59" i="11"/>
  <c r="AH60" i="11" s="1"/>
  <c r="AH59" i="11"/>
  <c r="AI45" i="11"/>
  <c r="T60" i="11" s="1"/>
  <c r="AN59" i="11"/>
  <c r="AH65" i="11" s="1"/>
  <c r="AH34" i="11"/>
  <c r="I59" i="11" s="1"/>
  <c r="AJ59" i="11"/>
  <c r="AH61" i="11" s="1"/>
  <c r="AH42" i="11"/>
  <c r="Q59" i="11" s="1"/>
  <c r="AH31" i="11"/>
  <c r="F59" i="11" s="1"/>
  <c r="AH48" i="11"/>
  <c r="W59" i="11" s="1"/>
  <c r="AH50" i="11"/>
  <c r="Y59" i="11" s="1"/>
  <c r="AH45" i="11"/>
  <c r="T59" i="11" s="1"/>
  <c r="AH57" i="11"/>
  <c r="AF59" i="11" s="1"/>
  <c r="AH49" i="11"/>
  <c r="X59" i="11" s="1"/>
  <c r="AM44" i="11"/>
  <c r="S64" i="11" s="1"/>
  <c r="AE44" i="11"/>
  <c r="S56" i="11" s="1"/>
  <c r="W44" i="11"/>
  <c r="S48" i="11" s="1"/>
  <c r="AL44" i="11"/>
  <c r="S63" i="11" s="1"/>
  <c r="AD44" i="11"/>
  <c r="S55" i="11" s="1"/>
  <c r="V44" i="11"/>
  <c r="S47" i="11" s="1"/>
  <c r="AK44" i="11"/>
  <c r="S62" i="11" s="1"/>
  <c r="AA44" i="11"/>
  <c r="S52" i="11" s="1"/>
  <c r="AJ44" i="11"/>
  <c r="S61" i="11" s="1"/>
  <c r="Z44" i="11"/>
  <c r="S51" i="11" s="1"/>
  <c r="AH44" i="11"/>
  <c r="S59" i="11" s="1"/>
  <c r="X44" i="11"/>
  <c r="S49" i="11" s="1"/>
  <c r="AG44" i="11"/>
  <c r="S58" i="11" s="1"/>
  <c r="S34" i="11"/>
  <c r="I44" i="11" s="1"/>
  <c r="U44" i="11"/>
  <c r="S46" i="11" s="1"/>
  <c r="AN44" i="11"/>
  <c r="S65" i="11" s="1"/>
  <c r="AF44" i="11"/>
  <c r="S57" i="11" s="1"/>
  <c r="AO44" i="11"/>
  <c r="S66" i="11" s="1"/>
  <c r="S40" i="11"/>
  <c r="O44" i="11" s="1"/>
  <c r="AC44" i="11"/>
  <c r="S54" i="11" s="1"/>
  <c r="Y44" i="11"/>
  <c r="S50" i="11" s="1"/>
  <c r="T44" i="11"/>
  <c r="S45" i="11" s="1"/>
  <c r="AB44" i="11"/>
  <c r="S53" i="11" s="1"/>
  <c r="AI52" i="11"/>
  <c r="AA60" i="11" s="1"/>
  <c r="AA52" i="11"/>
  <c r="AH52" i="11"/>
  <c r="AA59" i="11" s="1"/>
  <c r="AG52" i="11"/>
  <c r="AA58" i="11" s="1"/>
  <c r="AF52" i="11"/>
  <c r="AA57" i="11" s="1"/>
  <c r="AN52" i="11"/>
  <c r="AA65" i="11" s="1"/>
  <c r="AD52" i="11"/>
  <c r="AA55" i="11" s="1"/>
  <c r="AK52" i="11"/>
  <c r="AA62" i="11" s="1"/>
  <c r="AB45" i="11"/>
  <c r="T53" i="11" s="1"/>
  <c r="AB52" i="11"/>
  <c r="AA53" i="11" s="1"/>
  <c r="AJ52" i="11"/>
  <c r="AA61" i="11" s="1"/>
  <c r="AA31" i="11"/>
  <c r="F52" i="11" s="1"/>
  <c r="AO52" i="11"/>
  <c r="AA66" i="11" s="1"/>
  <c r="AA46" i="11"/>
  <c r="U52" i="11" s="1"/>
  <c r="AE52" i="11"/>
  <c r="AA56" i="11" s="1"/>
  <c r="AC52" i="11"/>
  <c r="AA54" i="11" s="1"/>
  <c r="AM52" i="11"/>
  <c r="AA64" i="11" s="1"/>
  <c r="AK60" i="11"/>
  <c r="AI62" i="11" s="1"/>
  <c r="AJ60" i="11"/>
  <c r="AI61" i="11" s="1"/>
  <c r="AI60" i="11"/>
  <c r="AM60" i="11"/>
  <c r="AI64" i="11" s="1"/>
  <c r="AJ45" i="11"/>
  <c r="T61" i="11" s="1"/>
  <c r="AL60" i="11"/>
  <c r="AI63" i="11" s="1"/>
  <c r="AI31" i="11"/>
  <c r="F60" i="11" s="1"/>
  <c r="AO60" i="11"/>
  <c r="AI66" i="11" s="1"/>
  <c r="AI50" i="11"/>
  <c r="Y60" i="11" s="1"/>
  <c r="AN60" i="11"/>
  <c r="AI65" i="11" s="1"/>
  <c r="AI55" i="11"/>
  <c r="AD60" i="11" s="1"/>
  <c r="V41" i="11"/>
  <c r="P47" i="11" s="1"/>
  <c r="AF41" i="11"/>
  <c r="P57" i="11" s="1"/>
  <c r="X41" i="11"/>
  <c r="P49" i="11" s="1"/>
  <c r="AN41" i="11"/>
  <c r="P65" i="11" s="1"/>
  <c r="AO41" i="11"/>
  <c r="P66" i="11" s="1"/>
  <c r="AI29" i="11"/>
  <c r="D60" i="11" s="1"/>
  <c r="AJ31" i="11"/>
  <c r="F61" i="11" s="1"/>
  <c r="X47" i="11"/>
  <c r="V49" i="11" s="1"/>
  <c r="M38" i="11"/>
  <c r="AM54" i="11"/>
  <c r="AC64" i="11" s="1"/>
  <c r="AM32" i="11"/>
  <c r="G64" i="11" s="1"/>
  <c r="AL48" i="11"/>
  <c r="W63" i="11" s="1"/>
  <c r="AN30" i="11"/>
  <c r="E65" i="11" s="1"/>
  <c r="V32" i="11"/>
  <c r="G47" i="11" s="1"/>
  <c r="R35" i="11"/>
  <c r="J43" i="11" s="1"/>
  <c r="AO36" i="11"/>
  <c r="K66" i="11" s="1"/>
  <c r="U38" i="11"/>
  <c r="M46" i="11" s="1"/>
  <c r="AH39" i="11"/>
  <c r="N59" i="11" s="1"/>
  <c r="AM41" i="11"/>
  <c r="P64" i="11" s="1"/>
  <c r="AA50" i="11"/>
  <c r="Y52" i="11" s="1"/>
  <c r="AI53" i="11"/>
  <c r="AB60" i="11" s="1"/>
  <c r="AH53" i="11"/>
  <c r="AB59" i="11" s="1"/>
  <c r="AO53" i="11"/>
  <c r="AB66" i="11" s="1"/>
  <c r="AM53" i="11"/>
  <c r="AB64" i="11" s="1"/>
  <c r="AC53" i="11"/>
  <c r="AB54" i="11" s="1"/>
  <c r="AL53" i="11"/>
  <c r="AB63" i="11" s="1"/>
  <c r="AB53" i="11"/>
  <c r="AJ53" i="11"/>
  <c r="AB61" i="11" s="1"/>
  <c r="E29" i="11"/>
  <c r="D30" i="11" s="1"/>
  <c r="I31" i="11"/>
  <c r="F34" i="11" s="1"/>
  <c r="AL32" i="11"/>
  <c r="G63" i="11" s="1"/>
  <c r="AO39" i="11"/>
  <c r="N66" i="11" s="1"/>
  <c r="AB46" i="11"/>
  <c r="U53" i="11" s="1"/>
  <c r="AJ30" i="11"/>
  <c r="E61" i="11" s="1"/>
  <c r="AB30" i="11"/>
  <c r="E53" i="11" s="1"/>
  <c r="T30" i="11"/>
  <c r="E45" i="11" s="1"/>
  <c r="L30" i="11"/>
  <c r="E37" i="11" s="1"/>
  <c r="AI30" i="11"/>
  <c r="E60" i="11" s="1"/>
  <c r="AA30" i="11"/>
  <c r="E52" i="11" s="1"/>
  <c r="S30" i="11"/>
  <c r="E44" i="11" s="1"/>
  <c r="K30" i="11"/>
  <c r="E36" i="11" s="1"/>
  <c r="AO30" i="11"/>
  <c r="E66" i="11" s="1"/>
  <c r="AG30" i="11"/>
  <c r="E58" i="11" s="1"/>
  <c r="Y30" i="11"/>
  <c r="E50" i="11" s="1"/>
  <c r="Q30" i="11"/>
  <c r="E42" i="11" s="1"/>
  <c r="I30" i="11"/>
  <c r="E34" i="11" s="1"/>
  <c r="Y32" i="11"/>
  <c r="G50" i="11" s="1"/>
  <c r="M34" i="11"/>
  <c r="I38" i="11" s="1"/>
  <c r="V40" i="11"/>
  <c r="O47" i="11" s="1"/>
  <c r="AD53" i="11"/>
  <c r="AB55" i="11" s="1"/>
  <c r="AE54" i="11"/>
  <c r="AC56" i="11" s="1"/>
  <c r="AM55" i="11"/>
  <c r="AD64" i="11" s="1"/>
  <c r="AM58" i="11"/>
  <c r="AG64" i="11" s="1"/>
  <c r="AK62" i="11"/>
  <c r="AM64" i="11"/>
  <c r="AN31" i="11"/>
  <c r="F65" i="11" s="1"/>
  <c r="H29" i="11"/>
  <c r="D33" i="11" s="1"/>
  <c r="U29" i="11"/>
  <c r="D46" i="11" s="1"/>
  <c r="H30" i="11"/>
  <c r="E33" i="11" s="1"/>
  <c r="V30" i="11"/>
  <c r="E47" i="11" s="1"/>
  <c r="AH30" i="11"/>
  <c r="E59" i="11" s="1"/>
  <c r="Y31" i="11"/>
  <c r="F50" i="11" s="1"/>
  <c r="O32" i="11"/>
  <c r="G40" i="11" s="1"/>
  <c r="AA32" i="11"/>
  <c r="G52" i="11" s="1"/>
  <c r="U33" i="11"/>
  <c r="H46" i="11" s="1"/>
  <c r="N34" i="11"/>
  <c r="I39" i="11" s="1"/>
  <c r="AB34" i="11"/>
  <c r="I53" i="11" s="1"/>
  <c r="M37" i="11"/>
  <c r="L38" i="11" s="1"/>
  <c r="AB37" i="11"/>
  <c r="L53" i="11" s="1"/>
  <c r="AB38" i="11"/>
  <c r="M53" i="11" s="1"/>
  <c r="AA40" i="11"/>
  <c r="O52" i="11" s="1"/>
  <c r="AD41" i="11"/>
  <c r="P55" i="11" s="1"/>
  <c r="AE42" i="11"/>
  <c r="Q56" i="11" s="1"/>
  <c r="T45" i="11"/>
  <c r="AL45" i="11"/>
  <c r="T63" i="11" s="1"/>
  <c r="Y47" i="11"/>
  <c r="V50" i="11" s="1"/>
  <c r="AO47" i="11"/>
  <c r="V66" i="11" s="1"/>
  <c r="AO48" i="11"/>
  <c r="W66" i="11" s="1"/>
  <c r="AE53" i="11"/>
  <c r="AB56" i="11" s="1"/>
  <c r="AG54" i="11"/>
  <c r="AC58" i="11" s="1"/>
  <c r="AN55" i="11"/>
  <c r="AD65" i="11" s="1"/>
  <c r="AM62" i="11"/>
  <c r="AK64" i="11" s="1"/>
  <c r="AH29" i="11"/>
  <c r="D59" i="11" s="1"/>
  <c r="Z29" i="11"/>
  <c r="D51" i="11" s="1"/>
  <c r="R29" i="11"/>
  <c r="D43" i="11" s="1"/>
  <c r="J29" i="11"/>
  <c r="D35" i="11" s="1"/>
  <c r="AO29" i="11"/>
  <c r="D66" i="11" s="1"/>
  <c r="AG29" i="11"/>
  <c r="D58" i="11" s="1"/>
  <c r="Y29" i="11"/>
  <c r="D50" i="11" s="1"/>
  <c r="I29" i="11"/>
  <c r="D34" i="11" s="1"/>
  <c r="AM29" i="11"/>
  <c r="D64" i="11" s="1"/>
  <c r="AE29" i="11"/>
  <c r="D56" i="11" s="1"/>
  <c r="W29" i="11"/>
  <c r="D48" i="11" s="1"/>
  <c r="O29" i="11"/>
  <c r="D40" i="11" s="1"/>
  <c r="G29" i="11"/>
  <c r="D32" i="11" s="1"/>
  <c r="AO61" i="11"/>
  <c r="AJ66" i="11" s="1"/>
  <c r="AN61" i="11"/>
  <c r="AJ65" i="11" s="1"/>
  <c r="AM61" i="11"/>
  <c r="AJ64" i="11" s="1"/>
  <c r="AK61" i="11"/>
  <c r="AJ62" i="11" s="1"/>
  <c r="AE33" i="11"/>
  <c r="H56" i="11" s="1"/>
  <c r="Z37" i="11"/>
  <c r="L51" i="11" s="1"/>
  <c r="W39" i="11"/>
  <c r="N48" i="11" s="1"/>
  <c r="AO46" i="11"/>
  <c r="U66" i="11" s="1"/>
  <c r="AG46" i="11"/>
  <c r="U58" i="11" s="1"/>
  <c r="Y46" i="11"/>
  <c r="U50" i="11" s="1"/>
  <c r="AN46" i="11"/>
  <c r="U65" i="11" s="1"/>
  <c r="AF46" i="11"/>
  <c r="U57" i="11" s="1"/>
  <c r="X46" i="11"/>
  <c r="U49" i="11" s="1"/>
  <c r="AI46" i="11"/>
  <c r="U60" i="11" s="1"/>
  <c r="W46" i="11"/>
  <c r="U48" i="11" s="1"/>
  <c r="AH46" i="11"/>
  <c r="U59" i="11" s="1"/>
  <c r="V46" i="11"/>
  <c r="U47" i="11" s="1"/>
  <c r="AD46" i="11"/>
  <c r="U55" i="11" s="1"/>
  <c r="F29" i="11"/>
  <c r="D31" i="11" s="1"/>
  <c r="G30" i="11"/>
  <c r="E32" i="11" s="1"/>
  <c r="V31" i="11"/>
  <c r="F47" i="11" s="1"/>
  <c r="N32" i="11"/>
  <c r="G39" i="11" s="1"/>
  <c r="AF33" i="11"/>
  <c r="H57" i="11" s="1"/>
  <c r="AA37" i="11"/>
  <c r="L52" i="11" s="1"/>
  <c r="X39" i="11"/>
  <c r="N49" i="11" s="1"/>
  <c r="AC41" i="11"/>
  <c r="P54" i="11" s="1"/>
  <c r="AC46" i="11"/>
  <c r="U54" i="11" s="1"/>
  <c r="AK32" i="11"/>
  <c r="G62" i="11" s="1"/>
  <c r="AC32" i="11"/>
  <c r="G54" i="11" s="1"/>
  <c r="U32" i="11"/>
  <c r="G46" i="11" s="1"/>
  <c r="M32" i="11"/>
  <c r="G38" i="11" s="1"/>
  <c r="AJ32" i="11"/>
  <c r="G61" i="11" s="1"/>
  <c r="AB32" i="11"/>
  <c r="G53" i="11" s="1"/>
  <c r="T32" i="11"/>
  <c r="G45" i="11" s="1"/>
  <c r="L32" i="11"/>
  <c r="G37" i="11" s="1"/>
  <c r="AH32" i="11"/>
  <c r="G59" i="11" s="1"/>
  <c r="Z32" i="11"/>
  <c r="G51" i="11" s="1"/>
  <c r="R32" i="11"/>
  <c r="G43" i="11" s="1"/>
  <c r="J32" i="11"/>
  <c r="G35" i="11" s="1"/>
  <c r="AN45" i="11"/>
  <c r="T65" i="11" s="1"/>
  <c r="AO64" i="11"/>
  <c r="AM66" i="11" s="1"/>
  <c r="AN64" i="11"/>
  <c r="AM65" i="11" s="1"/>
  <c r="V29" i="11"/>
  <c r="D47" i="11" s="1"/>
  <c r="W30" i="11"/>
  <c r="E48" i="11" s="1"/>
  <c r="L31" i="11"/>
  <c r="F37" i="11" s="1"/>
  <c r="AL31" i="11"/>
  <c r="F63" i="11" s="1"/>
  <c r="AD32" i="11"/>
  <c r="G55" i="11" s="1"/>
  <c r="V33" i="11"/>
  <c r="H47" i="11" s="1"/>
  <c r="O34" i="11"/>
  <c r="I40" i="11" s="1"/>
  <c r="AD37" i="11"/>
  <c r="L55" i="11" s="1"/>
  <c r="AE41" i="11"/>
  <c r="P56" i="11" s="1"/>
  <c r="AF42" i="11"/>
  <c r="Q57" i="11" s="1"/>
  <c r="V45" i="11"/>
  <c r="T47" i="11" s="1"/>
  <c r="AO45" i="11"/>
  <c r="T66" i="11" s="1"/>
  <c r="AJ46" i="11"/>
  <c r="U61" i="11" s="1"/>
  <c r="AB47" i="11"/>
  <c r="V53" i="11" s="1"/>
  <c r="AF53" i="11"/>
  <c r="AB57" i="11" s="1"/>
  <c r="AO55" i="11"/>
  <c r="AD66" i="11" s="1"/>
  <c r="U45" i="11"/>
  <c r="T46" i="11" s="1"/>
  <c r="AL63" i="11"/>
  <c r="S29" i="11"/>
  <c r="D44" i="11" s="1"/>
  <c r="O33" i="11"/>
  <c r="H40" i="11" s="1"/>
  <c r="Y34" i="11"/>
  <c r="I50" i="11" s="1"/>
  <c r="AL40" i="11"/>
  <c r="O63" i="11" s="1"/>
  <c r="AM38" i="11"/>
  <c r="M64" i="11" s="1"/>
  <c r="AE38" i="11"/>
  <c r="M56" i="11" s="1"/>
  <c r="W38" i="11"/>
  <c r="M48" i="11" s="1"/>
  <c r="O38" i="11"/>
  <c r="M40" i="11" s="1"/>
  <c r="AL38" i="11"/>
  <c r="M63" i="11" s="1"/>
  <c r="AD38" i="11"/>
  <c r="M55" i="11" s="1"/>
  <c r="V38" i="11"/>
  <c r="M47" i="11" s="1"/>
  <c r="N38" i="11"/>
  <c r="M39" i="11" s="1"/>
  <c r="AF38" i="11"/>
  <c r="M57" i="11" s="1"/>
  <c r="T38" i="11"/>
  <c r="M45" i="11" s="1"/>
  <c r="AO38" i="11"/>
  <c r="M66" i="11" s="1"/>
  <c r="AC38" i="11"/>
  <c r="M54" i="11" s="1"/>
  <c r="S38" i="11"/>
  <c r="M44" i="11" s="1"/>
  <c r="AK38" i="11"/>
  <c r="M62" i="11" s="1"/>
  <c r="AA38" i="11"/>
  <c r="M52" i="11" s="1"/>
  <c r="Q38" i="11"/>
  <c r="M42" i="11" s="1"/>
  <c r="AJ54" i="11"/>
  <c r="AC61" i="11" s="1"/>
  <c r="AI54" i="11"/>
  <c r="AC60" i="11" s="1"/>
  <c r="AH54" i="11"/>
  <c r="AC59" i="11" s="1"/>
  <c r="AL54" i="11"/>
  <c r="AC63" i="11" s="1"/>
  <c r="AK54" i="11"/>
  <c r="AC62" i="11" s="1"/>
  <c r="AF54" i="11"/>
  <c r="AC57" i="11" s="1"/>
  <c r="AF29" i="11"/>
  <c r="D57" i="11" s="1"/>
  <c r="U30" i="11"/>
  <c r="E46" i="11" s="1"/>
  <c r="Q33" i="11"/>
  <c r="H42" i="11" s="1"/>
  <c r="AK45" i="11"/>
  <c r="T62" i="11" s="1"/>
  <c r="AM47" i="11"/>
  <c r="V64" i="11" s="1"/>
  <c r="AO40" i="11"/>
  <c r="O66" i="11" s="1"/>
  <c r="AG40" i="11"/>
  <c r="O58" i="11" s="1"/>
  <c r="Y40" i="11"/>
  <c r="O50" i="11" s="1"/>
  <c r="Q40" i="11"/>
  <c r="O42" i="11" s="1"/>
  <c r="AN40" i="11"/>
  <c r="O65" i="11" s="1"/>
  <c r="AF40" i="11"/>
  <c r="O57" i="11" s="1"/>
  <c r="X40" i="11"/>
  <c r="O49" i="11" s="1"/>
  <c r="P40" i="11"/>
  <c r="O41" i="11" s="1"/>
  <c r="AJ40" i="11"/>
  <c r="O61" i="11" s="1"/>
  <c r="Z40" i="11"/>
  <c r="O51" i="11" s="1"/>
  <c r="AI40" i="11"/>
  <c r="O60" i="11" s="1"/>
  <c r="W40" i="11"/>
  <c r="O48" i="11" s="1"/>
  <c r="AE40" i="11"/>
  <c r="O56" i="11" s="1"/>
  <c r="U40" i="11"/>
  <c r="O46" i="11" s="1"/>
  <c r="AN48" i="11"/>
  <c r="W65" i="11" s="1"/>
  <c r="AF48" i="11"/>
  <c r="W57" i="11" s="1"/>
  <c r="X48" i="11"/>
  <c r="W49" i="11" s="1"/>
  <c r="X45" i="11"/>
  <c r="T49" i="11" s="1"/>
  <c r="AM48" i="11"/>
  <c r="W64" i="11" s="1"/>
  <c r="AE48" i="11"/>
  <c r="W56" i="11" s="1"/>
  <c r="W48" i="11"/>
  <c r="AJ48" i="11"/>
  <c r="W61" i="11" s="1"/>
  <c r="Z48" i="11"/>
  <c r="W51" i="11" s="1"/>
  <c r="AI48" i="11"/>
  <c r="W60" i="11" s="1"/>
  <c r="Y48" i="11"/>
  <c r="W50" i="11" s="1"/>
  <c r="AG48" i="11"/>
  <c r="W58" i="11" s="1"/>
  <c r="K29" i="11"/>
  <c r="D36" i="11" s="1"/>
  <c r="AJ29" i="11"/>
  <c r="D61" i="11" s="1"/>
  <c r="AK30" i="11"/>
  <c r="E62" i="11" s="1"/>
  <c r="P32" i="11"/>
  <c r="G41" i="11" s="1"/>
  <c r="AO32" i="11"/>
  <c r="G66" i="11" s="1"/>
  <c r="AJ33" i="11"/>
  <c r="H61" i="11" s="1"/>
  <c r="AE34" i="11"/>
  <c r="I56" i="11" s="1"/>
  <c r="N37" i="11"/>
  <c r="L39" i="11" s="1"/>
  <c r="AG38" i="11"/>
  <c r="M58" i="11" s="1"/>
  <c r="AE39" i="11"/>
  <c r="N56" i="11" s="1"/>
  <c r="Q42" i="11"/>
  <c r="AI33" i="11"/>
  <c r="H60" i="11" s="1"/>
  <c r="AG41" i="11"/>
  <c r="P58" i="11" s="1"/>
  <c r="AK49" i="11"/>
  <c r="X62" i="11" s="1"/>
  <c r="AO57" i="11"/>
  <c r="AF66" i="11" s="1"/>
  <c r="AO65" i="11"/>
  <c r="AN66" i="11" s="1"/>
  <c r="L29" i="11"/>
  <c r="D37" i="11" s="1"/>
  <c r="X29" i="11"/>
  <c r="D49" i="11" s="1"/>
  <c r="AK29" i="11"/>
  <c r="D62" i="11" s="1"/>
  <c r="M30" i="11"/>
  <c r="E38" i="11" s="1"/>
  <c r="X30" i="11"/>
  <c r="E49" i="11" s="1"/>
  <c r="AL30" i="11"/>
  <c r="E63" i="11" s="1"/>
  <c r="N31" i="11"/>
  <c r="F39" i="11" s="1"/>
  <c r="AO31" i="11"/>
  <c r="F66" i="11" s="1"/>
  <c r="Q32" i="11"/>
  <c r="G42" i="11" s="1"/>
  <c r="AE32" i="11"/>
  <c r="G56" i="11" s="1"/>
  <c r="H33" i="11"/>
  <c r="W33" i="11"/>
  <c r="H48" i="11" s="1"/>
  <c r="AM33" i="11"/>
  <c r="H64" i="11" s="1"/>
  <c r="Q34" i="11"/>
  <c r="I42" i="11" s="1"/>
  <c r="O37" i="11"/>
  <c r="L40" i="11" s="1"/>
  <c r="P38" i="11"/>
  <c r="M41" i="11" s="1"/>
  <c r="AH38" i="11"/>
  <c r="M59" i="11" s="1"/>
  <c r="N39" i="11"/>
  <c r="AF39" i="11"/>
  <c r="N57" i="11" s="1"/>
  <c r="AC40" i="11"/>
  <c r="O54" i="11" s="1"/>
  <c r="AK46" i="11"/>
  <c r="U62" i="11" s="1"/>
  <c r="AC47" i="11"/>
  <c r="V54" i="11" s="1"/>
  <c r="AB48" i="11"/>
  <c r="W53" i="11" s="1"/>
  <c r="AG53" i="11"/>
  <c r="AB58" i="11" s="1"/>
  <c r="AN54" i="11"/>
  <c r="AC65" i="11" s="1"/>
  <c r="AM57" i="11"/>
  <c r="AF64" i="11" s="1"/>
  <c r="AJ61" i="11"/>
  <c r="AO37" i="11"/>
  <c r="L66" i="11" s="1"/>
  <c r="AG37" i="11"/>
  <c r="L58" i="11" s="1"/>
  <c r="Y37" i="11"/>
  <c r="L50" i="11" s="1"/>
  <c r="Q37" i="11"/>
  <c r="L42" i="11" s="1"/>
  <c r="AN37" i="11"/>
  <c r="L65" i="11" s="1"/>
  <c r="AF37" i="11"/>
  <c r="L57" i="11" s="1"/>
  <c r="X37" i="11"/>
  <c r="L49" i="11" s="1"/>
  <c r="P37" i="11"/>
  <c r="L41" i="11" s="1"/>
  <c r="AH37" i="11"/>
  <c r="L59" i="11" s="1"/>
  <c r="V37" i="11"/>
  <c r="L47" i="11" s="1"/>
  <c r="L37" i="11"/>
  <c r="AE37" i="11"/>
  <c r="L56" i="11" s="1"/>
  <c r="U37" i="11"/>
  <c r="L46" i="11" s="1"/>
  <c r="AM37" i="11"/>
  <c r="L64" i="11" s="1"/>
  <c r="AC37" i="11"/>
  <c r="L54" i="11" s="1"/>
  <c r="S37" i="11"/>
  <c r="L44" i="11" s="1"/>
  <c r="AD29" i="11"/>
  <c r="D55" i="11" s="1"/>
  <c r="T40" i="11"/>
  <c r="O45" i="11" s="1"/>
  <c r="AL47" i="11"/>
  <c r="V63" i="11" s="1"/>
  <c r="AL58" i="11"/>
  <c r="AG63" i="11" s="1"/>
  <c r="AO62" i="11"/>
  <c r="AK66" i="11" s="1"/>
  <c r="AN62" i="11"/>
  <c r="AK65" i="11" s="1"/>
  <c r="AL62" i="11"/>
  <c r="AK63" i="11" s="1"/>
  <c r="T29" i="11"/>
  <c r="D45" i="11" s="1"/>
  <c r="AF30" i="11"/>
  <c r="E57" i="11" s="1"/>
  <c r="Z38" i="11"/>
  <c r="M51" i="11" s="1"/>
  <c r="AH56" i="11"/>
  <c r="AE59" i="11" s="1"/>
  <c r="AF45" i="11"/>
  <c r="T57" i="11" s="1"/>
  <c r="AO56" i="11"/>
  <c r="AE66" i="11" s="1"/>
  <c r="AG56" i="11"/>
  <c r="AE58" i="11" s="1"/>
  <c r="AN56" i="11"/>
  <c r="AE65" i="11" s="1"/>
  <c r="AF56" i="11"/>
  <c r="AE57" i="11" s="1"/>
  <c r="AJ56" i="11"/>
  <c r="AE61" i="11" s="1"/>
  <c r="AI56" i="11"/>
  <c r="AE60" i="11" s="1"/>
  <c r="J30" i="11"/>
  <c r="E35" i="11" s="1"/>
  <c r="AL34" i="11"/>
  <c r="I63" i="11" s="1"/>
  <c r="AK42" i="11"/>
  <c r="Q62" i="11" s="1"/>
  <c r="AL50" i="11"/>
  <c r="Y63" i="11" s="1"/>
  <c r="AI58" i="11"/>
  <c r="AG60" i="11" s="1"/>
  <c r="M29" i="11"/>
  <c r="D38" i="11" s="1"/>
  <c r="AA29" i="11"/>
  <c r="D52" i="11" s="1"/>
  <c r="AL29" i="11"/>
  <c r="D63" i="11" s="1"/>
  <c r="N30" i="11"/>
  <c r="E39" i="11" s="1"/>
  <c r="Z30" i="11"/>
  <c r="E51" i="11" s="1"/>
  <c r="AM30" i="11"/>
  <c r="E64" i="11" s="1"/>
  <c r="AB31" i="11"/>
  <c r="F53" i="11" s="1"/>
  <c r="G32" i="11"/>
  <c r="S32" i="11"/>
  <c r="G44" i="11" s="1"/>
  <c r="AF32" i="11"/>
  <c r="G57" i="11" s="1"/>
  <c r="L33" i="11"/>
  <c r="H37" i="11" s="1"/>
  <c r="X33" i="11"/>
  <c r="H49" i="11" s="1"/>
  <c r="R37" i="11"/>
  <c r="L43" i="11" s="1"/>
  <c r="AJ37" i="11"/>
  <c r="L61" i="11" s="1"/>
  <c r="R38" i="11"/>
  <c r="M43" i="11" s="1"/>
  <c r="AI38" i="11"/>
  <c r="M60" i="11" s="1"/>
  <c r="P39" i="11"/>
  <c r="N41" i="11" s="1"/>
  <c r="O40" i="11"/>
  <c r="AD40" i="11"/>
  <c r="O55" i="11" s="1"/>
  <c r="T41" i="11"/>
  <c r="P45" i="11" s="1"/>
  <c r="AJ41" i="11"/>
  <c r="P61" i="11" s="1"/>
  <c r="U42" i="11"/>
  <c r="Q46" i="11" s="1"/>
  <c r="AM42" i="11"/>
  <c r="Q64" i="11" s="1"/>
  <c r="U46" i="11"/>
  <c r="AL46" i="11"/>
  <c r="U63" i="11" s="1"/>
  <c r="AE47" i="11"/>
  <c r="V56" i="11" s="1"/>
  <c r="AC48" i="11"/>
  <c r="W54" i="11" s="1"/>
  <c r="AC49" i="11"/>
  <c r="X54" i="11" s="1"/>
  <c r="AK53" i="11"/>
  <c r="AB62" i="11" s="1"/>
  <c r="AO54" i="11"/>
  <c r="AC66" i="11" s="1"/>
  <c r="AK56" i="11"/>
  <c r="AE62" i="11" s="1"/>
  <c r="AL61" i="11"/>
  <c r="AJ63" i="11" s="1"/>
  <c r="AK39" i="11"/>
  <c r="N62" i="11" s="1"/>
  <c r="AC39" i="11"/>
  <c r="N54" i="11" s="1"/>
  <c r="U39" i="11"/>
  <c r="N46" i="11" s="1"/>
  <c r="AJ39" i="11"/>
  <c r="N61" i="11" s="1"/>
  <c r="AB39" i="11"/>
  <c r="N53" i="11" s="1"/>
  <c r="T39" i="11"/>
  <c r="N45" i="11" s="1"/>
  <c r="AI47" i="11"/>
  <c r="V60" i="11" s="1"/>
  <c r="AA47" i="11"/>
  <c r="V52" i="11" s="1"/>
  <c r="AH47" i="11"/>
  <c r="V59" i="11" s="1"/>
  <c r="Z47" i="11"/>
  <c r="V51" i="11" s="1"/>
  <c r="W45" i="11"/>
  <c r="T48" i="11" s="1"/>
  <c r="AL55" i="11"/>
  <c r="AD63" i="11" s="1"/>
  <c r="AD55" i="11"/>
  <c r="AK55" i="11"/>
  <c r="AD62" i="11" s="1"/>
  <c r="AE45" i="11"/>
  <c r="T56" i="11" s="1"/>
  <c r="AJ55" i="11"/>
  <c r="AD61" i="11" s="1"/>
  <c r="AO63" i="11"/>
  <c r="AL66" i="11" s="1"/>
  <c r="AN63" i="11"/>
  <c r="AL65" i="11" s="1"/>
  <c r="AM45" i="11"/>
  <c r="T64" i="11" s="1"/>
  <c r="AM63" i="11"/>
  <c r="AL64" i="11" s="1"/>
  <c r="M31" i="11"/>
  <c r="F38" i="11" s="1"/>
  <c r="U31" i="11"/>
  <c r="F46" i="11" s="1"/>
  <c r="AC31" i="11"/>
  <c r="F54" i="11" s="1"/>
  <c r="AK31" i="11"/>
  <c r="F62" i="11" s="1"/>
  <c r="P33" i="11"/>
  <c r="H41" i="11" s="1"/>
  <c r="Y33" i="11"/>
  <c r="H50" i="11" s="1"/>
  <c r="I34" i="11"/>
  <c r="R34" i="11"/>
  <c r="I43" i="11" s="1"/>
  <c r="AA34" i="11"/>
  <c r="I52" i="11" s="1"/>
  <c r="AJ34" i="11"/>
  <c r="I61" i="11" s="1"/>
  <c r="O39" i="11"/>
  <c r="N40" i="11" s="1"/>
  <c r="Y39" i="11"/>
  <c r="N50" i="11" s="1"/>
  <c r="AI39" i="11"/>
  <c r="N60" i="11" s="1"/>
  <c r="W41" i="11"/>
  <c r="P48" i="11" s="1"/>
  <c r="W42" i="11"/>
  <c r="Q48" i="11" s="1"/>
  <c r="AG42" i="11"/>
  <c r="Q58" i="11" s="1"/>
  <c r="AG45" i="11"/>
  <c r="T58" i="11" s="1"/>
  <c r="AD47" i="11"/>
  <c r="V55" i="11" s="1"/>
  <c r="AN47" i="11"/>
  <c r="V65" i="11" s="1"/>
  <c r="AG49" i="11"/>
  <c r="X58" i="11" s="1"/>
  <c r="Z50" i="11"/>
  <c r="Y51" i="11" s="1"/>
  <c r="AJ50" i="11"/>
  <c r="Y61" i="11" s="1"/>
  <c r="AE55" i="11"/>
  <c r="AD56" i="11" s="1"/>
  <c r="AH33" i="11"/>
  <c r="H59" i="11" s="1"/>
  <c r="Z33" i="11"/>
  <c r="H51" i="11" s="1"/>
  <c r="R33" i="11"/>
  <c r="H43" i="11" s="1"/>
  <c r="J33" i="11"/>
  <c r="H35" i="11" s="1"/>
  <c r="AI41" i="11"/>
  <c r="P60" i="11" s="1"/>
  <c r="AA41" i="11"/>
  <c r="P52" i="11" s="1"/>
  <c r="S41" i="11"/>
  <c r="P44" i="11" s="1"/>
  <c r="AH41" i="11"/>
  <c r="P59" i="11" s="1"/>
  <c r="Z41" i="11"/>
  <c r="P51" i="11" s="1"/>
  <c r="R41" i="11"/>
  <c r="P43" i="11" s="1"/>
  <c r="AK57" i="11"/>
  <c r="AF62" i="11" s="1"/>
  <c r="AJ57" i="11"/>
  <c r="AF61" i="11" s="1"/>
  <c r="AI57" i="11"/>
  <c r="AF60" i="11" s="1"/>
  <c r="Q29" i="11"/>
  <c r="D42" i="11" s="1"/>
  <c r="G31" i="11"/>
  <c r="F32" i="11" s="1"/>
  <c r="O31" i="11"/>
  <c r="F40" i="11" s="1"/>
  <c r="W31" i="11"/>
  <c r="F48" i="11" s="1"/>
  <c r="AE31" i="11"/>
  <c r="F56" i="11" s="1"/>
  <c r="AM31" i="11"/>
  <c r="F64" i="11" s="1"/>
  <c r="I33" i="11"/>
  <c r="H34" i="11" s="1"/>
  <c r="S33" i="11"/>
  <c r="H44" i="11" s="1"/>
  <c r="AB33" i="11"/>
  <c r="H53" i="11" s="1"/>
  <c r="AK33" i="11"/>
  <c r="H62" i="11" s="1"/>
  <c r="K34" i="11"/>
  <c r="I36" i="11" s="1"/>
  <c r="T34" i="11"/>
  <c r="I45" i="11" s="1"/>
  <c r="AC34" i="11"/>
  <c r="I54" i="11" s="1"/>
  <c r="Q39" i="11"/>
  <c r="N42" i="11" s="1"/>
  <c r="AA39" i="11"/>
  <c r="N52" i="11" s="1"/>
  <c r="AM39" i="11"/>
  <c r="N64" i="11" s="1"/>
  <c r="Y41" i="11"/>
  <c r="P50" i="11" s="1"/>
  <c r="AK41" i="11"/>
  <c r="P62" i="11" s="1"/>
  <c r="Y42" i="11"/>
  <c r="Q50" i="11" s="1"/>
  <c r="Y45" i="11"/>
  <c r="T50" i="11" s="1"/>
  <c r="V47" i="11"/>
  <c r="AF47" i="11"/>
  <c r="V57" i="11" s="1"/>
  <c r="Y49" i="11"/>
  <c r="X50" i="11" s="1"/>
  <c r="AB50" i="11"/>
  <c r="Y53" i="11" s="1"/>
  <c r="AG55" i="11"/>
  <c r="AD58" i="11" s="1"/>
  <c r="AF57" i="11"/>
  <c r="AJ49" i="11"/>
  <c r="X61" i="11" s="1"/>
  <c r="AB49" i="11"/>
  <c r="X53" i="11" s="1"/>
  <c r="AI49" i="11"/>
  <c r="X60" i="11" s="1"/>
  <c r="AA49" i="11"/>
  <c r="X52" i="11" s="1"/>
  <c r="AN34" i="11"/>
  <c r="I65" i="11" s="1"/>
  <c r="AF34" i="11"/>
  <c r="I57" i="11" s="1"/>
  <c r="X34" i="11"/>
  <c r="I49" i="11" s="1"/>
  <c r="P34" i="11"/>
  <c r="I41" i="11" s="1"/>
  <c r="AJ42" i="11"/>
  <c r="Q61" i="11" s="1"/>
  <c r="AB42" i="11"/>
  <c r="Q53" i="11" s="1"/>
  <c r="T42" i="11"/>
  <c r="Q45" i="11" s="1"/>
  <c r="AI42" i="11"/>
  <c r="Q60" i="11" s="1"/>
  <c r="AA42" i="11"/>
  <c r="Q52" i="11" s="1"/>
  <c r="S42" i="11"/>
  <c r="Q44" i="11" s="1"/>
  <c r="AO50" i="11"/>
  <c r="Y66" i="11" s="1"/>
  <c r="AG50" i="11"/>
  <c r="Y58" i="11" s="1"/>
  <c r="Y50" i="11"/>
  <c r="AN50" i="11"/>
  <c r="Y65" i="11" s="1"/>
  <c r="AF50" i="11"/>
  <c r="Y57" i="11" s="1"/>
  <c r="AH58" i="11"/>
  <c r="AG59" i="11" s="1"/>
  <c r="AO58" i="11"/>
  <c r="AG66" i="11" s="1"/>
  <c r="AG58" i="11"/>
  <c r="AN58" i="11"/>
  <c r="AG65" i="11" s="1"/>
  <c r="H31" i="11"/>
  <c r="F33" i="11" s="1"/>
  <c r="P31" i="11"/>
  <c r="F41" i="11" s="1"/>
  <c r="X31" i="11"/>
  <c r="F49" i="11" s="1"/>
  <c r="AF31" i="11"/>
  <c r="F57" i="11" s="1"/>
  <c r="K33" i="11"/>
  <c r="H36" i="11" s="1"/>
  <c r="T33" i="11"/>
  <c r="H45" i="11" s="1"/>
  <c r="AC33" i="11"/>
  <c r="H54" i="11" s="1"/>
  <c r="AL33" i="11"/>
  <c r="H63" i="11" s="1"/>
  <c r="L34" i="11"/>
  <c r="I37" i="11" s="1"/>
  <c r="U34" i="11"/>
  <c r="I46" i="11" s="1"/>
  <c r="AD34" i="11"/>
  <c r="I55" i="11" s="1"/>
  <c r="AM34" i="11"/>
  <c r="I64" i="11" s="1"/>
  <c r="R39" i="11"/>
  <c r="N43" i="11" s="1"/>
  <c r="AD39" i="11"/>
  <c r="N55" i="11" s="1"/>
  <c r="AN39" i="11"/>
  <c r="N65" i="11" s="1"/>
  <c r="P41" i="11"/>
  <c r="AB41" i="11"/>
  <c r="P53" i="11" s="1"/>
  <c r="AL41" i="11"/>
  <c r="P63" i="11" s="1"/>
  <c r="Z42" i="11"/>
  <c r="Q51" i="11" s="1"/>
  <c r="AL42" i="11"/>
  <c r="Q63" i="11" s="1"/>
  <c r="Z45" i="11"/>
  <c r="T51" i="11" s="1"/>
  <c r="W47" i="11"/>
  <c r="V48" i="11" s="1"/>
  <c r="AG47" i="11"/>
  <c r="V58" i="11" s="1"/>
  <c r="Z49" i="11"/>
  <c r="X51" i="11" s="1"/>
  <c r="AL49" i="11"/>
  <c r="X63" i="11" s="1"/>
  <c r="AC50" i="11"/>
  <c r="Y54" i="11" s="1"/>
  <c r="AM50" i="11"/>
  <c r="Y64" i="11" s="1"/>
  <c r="AH55" i="11"/>
  <c r="AD59" i="11" s="1"/>
  <c r="AG57" i="11"/>
  <c r="AF58" i="11" s="1"/>
  <c r="AJ58" i="11"/>
  <c r="AG61" i="11" s="1"/>
  <c r="D26" i="12"/>
  <c r="D34" i="12"/>
  <c r="D42" i="12"/>
  <c r="AR9" i="12"/>
  <c r="J17" i="12"/>
  <c r="E22" i="12" s="1"/>
  <c r="AD18" i="12"/>
  <c r="F42" i="12" s="1"/>
  <c r="O20" i="12"/>
  <c r="H27" i="12" s="1"/>
  <c r="AJ21" i="12"/>
  <c r="I48" i="12" s="1"/>
  <c r="N23" i="12"/>
  <c r="K26" i="12" s="1"/>
  <c r="U26" i="12"/>
  <c r="N33" i="12" s="1"/>
  <c r="T29" i="12"/>
  <c r="Q32" i="12" s="1"/>
  <c r="AD20" i="12"/>
  <c r="H42" i="12" s="1"/>
  <c r="AD28" i="12"/>
  <c r="P42" i="12" s="1"/>
  <c r="AZ9" i="12"/>
  <c r="R17" i="12"/>
  <c r="E30" i="12" s="1"/>
  <c r="V23" i="12"/>
  <c r="K34" i="12" s="1"/>
  <c r="AC26" i="12"/>
  <c r="N41" i="12" s="1"/>
  <c r="AB29" i="12"/>
  <c r="Q40" i="12" s="1"/>
  <c r="D18" i="12"/>
  <c r="AF22" i="12"/>
  <c r="J44" i="12" s="1"/>
  <c r="AI30" i="12"/>
  <c r="R47" i="12" s="1"/>
  <c r="AH17" i="12"/>
  <c r="E46" i="12" s="1"/>
  <c r="Q22" i="12"/>
  <c r="J29" i="12" s="1"/>
  <c r="W28" i="12"/>
  <c r="P35" i="12" s="1"/>
  <c r="AJ31" i="12"/>
  <c r="S48" i="12" s="1"/>
  <c r="AJ39" i="12"/>
  <c r="AA48" i="12" s="1"/>
  <c r="Y22" i="12"/>
  <c r="J37" i="12" s="1"/>
  <c r="AK16" i="12"/>
  <c r="AH24" i="12"/>
  <c r="L46" i="12" s="1"/>
  <c r="Y32" i="12"/>
  <c r="T37" i="12" s="1"/>
  <c r="F18" i="12"/>
  <c r="L21" i="12"/>
  <c r="I24" i="12" s="1"/>
  <c r="S24" i="12"/>
  <c r="L31" i="12" s="1"/>
  <c r="R27" i="12"/>
  <c r="O30" i="12" s="1"/>
  <c r="AB31" i="12"/>
  <c r="S40" i="12" s="1"/>
  <c r="AD33" i="12"/>
  <c r="U42" i="12" s="1"/>
  <c r="AD41" i="12"/>
  <c r="AC42" i="12" s="1"/>
  <c r="AA24" i="12"/>
  <c r="L39" i="12" s="1"/>
  <c r="AK18" i="12"/>
  <c r="F49" i="12" s="1"/>
  <c r="AC18" i="12"/>
  <c r="F41" i="12" s="1"/>
  <c r="U18" i="12"/>
  <c r="F33" i="12" s="1"/>
  <c r="M18" i="12"/>
  <c r="F25" i="12" s="1"/>
  <c r="AJ18" i="12"/>
  <c r="F48" i="12" s="1"/>
  <c r="AB18" i="12"/>
  <c r="F40" i="12" s="1"/>
  <c r="T18" i="12"/>
  <c r="F32" i="12" s="1"/>
  <c r="L18" i="12"/>
  <c r="F24" i="12" s="1"/>
  <c r="AI18" i="12"/>
  <c r="F47" i="12" s="1"/>
  <c r="AA18" i="12"/>
  <c r="F39" i="12" s="1"/>
  <c r="S18" i="12"/>
  <c r="F31" i="12" s="1"/>
  <c r="K18" i="12"/>
  <c r="F23" i="12" s="1"/>
  <c r="AH18" i="12"/>
  <c r="F46" i="12" s="1"/>
  <c r="Z18" i="12"/>
  <c r="F38" i="12" s="1"/>
  <c r="R18" i="12"/>
  <c r="F30" i="12" s="1"/>
  <c r="J18" i="12"/>
  <c r="F22" i="12" s="1"/>
  <c r="AG18" i="12"/>
  <c r="F45" i="12" s="1"/>
  <c r="Y18" i="12"/>
  <c r="F37" i="12" s="1"/>
  <c r="Q18" i="12"/>
  <c r="F29" i="12" s="1"/>
  <c r="I18" i="12"/>
  <c r="F21" i="12" s="1"/>
  <c r="AF18" i="12"/>
  <c r="F44" i="12" s="1"/>
  <c r="X18" i="12"/>
  <c r="F36" i="12" s="1"/>
  <c r="P18" i="12"/>
  <c r="F28" i="12" s="1"/>
  <c r="H18" i="12"/>
  <c r="F20" i="12" s="1"/>
  <c r="AL9" i="12"/>
  <c r="AE18" i="12"/>
  <c r="F43" i="12" s="1"/>
  <c r="W18" i="12"/>
  <c r="F35" i="12" s="1"/>
  <c r="O18" i="12"/>
  <c r="F27" i="12" s="1"/>
  <c r="G18" i="12"/>
  <c r="F19" i="12" s="1"/>
  <c r="AJ26" i="12"/>
  <c r="N48" i="12" s="1"/>
  <c r="AB26" i="12"/>
  <c r="N40" i="12" s="1"/>
  <c r="T26" i="12"/>
  <c r="N32" i="12" s="1"/>
  <c r="AI26" i="12"/>
  <c r="N47" i="12" s="1"/>
  <c r="AA26" i="12"/>
  <c r="N39" i="12" s="1"/>
  <c r="S26" i="12"/>
  <c r="N31" i="12" s="1"/>
  <c r="AH26" i="12"/>
  <c r="N46" i="12" s="1"/>
  <c r="Z26" i="12"/>
  <c r="N38" i="12" s="1"/>
  <c r="R26" i="12"/>
  <c r="N30" i="12" s="1"/>
  <c r="AG26" i="12"/>
  <c r="N45" i="12" s="1"/>
  <c r="Y26" i="12"/>
  <c r="N37" i="12" s="1"/>
  <c r="Q26" i="12"/>
  <c r="N29" i="12" s="1"/>
  <c r="AF26" i="12"/>
  <c r="N44" i="12" s="1"/>
  <c r="X26" i="12"/>
  <c r="N36" i="12" s="1"/>
  <c r="P26" i="12"/>
  <c r="N28" i="12" s="1"/>
  <c r="AE26" i="12"/>
  <c r="N43" i="12" s="1"/>
  <c r="W26" i="12"/>
  <c r="N35" i="12" s="1"/>
  <c r="O26" i="12"/>
  <c r="N27" i="12" s="1"/>
  <c r="AT9" i="12"/>
  <c r="AD26" i="12"/>
  <c r="N42" i="12" s="1"/>
  <c r="V26" i="12"/>
  <c r="N34" i="12" s="1"/>
  <c r="N26" i="12"/>
  <c r="AH34" i="12"/>
  <c r="V46" i="12" s="1"/>
  <c r="Z34" i="12"/>
  <c r="V38" i="12" s="1"/>
  <c r="AG34" i="12"/>
  <c r="V45" i="12" s="1"/>
  <c r="Y34" i="12"/>
  <c r="V37" i="12" s="1"/>
  <c r="AF34" i="12"/>
  <c r="V44" i="12" s="1"/>
  <c r="X34" i="12"/>
  <c r="V36" i="12" s="1"/>
  <c r="AE34" i="12"/>
  <c r="V43" i="12" s="1"/>
  <c r="W34" i="12"/>
  <c r="V35" i="12" s="1"/>
  <c r="AD34" i="12"/>
  <c r="V42" i="12" s="1"/>
  <c r="V34" i="12"/>
  <c r="AK34" i="12"/>
  <c r="V49" i="12" s="1"/>
  <c r="AC34" i="12"/>
  <c r="V41" i="12" s="1"/>
  <c r="AJ34" i="12"/>
  <c r="V48" i="12" s="1"/>
  <c r="AB34" i="12"/>
  <c r="V40" i="12" s="1"/>
  <c r="AA34" i="12"/>
  <c r="V39" i="12" s="1"/>
  <c r="AI34" i="12"/>
  <c r="V47" i="12" s="1"/>
  <c r="BB9" i="12"/>
  <c r="AH42" i="12"/>
  <c r="AD46" i="12" s="1"/>
  <c r="AG42" i="12"/>
  <c r="AD45" i="12" s="1"/>
  <c r="AF42" i="12"/>
  <c r="AD44" i="12" s="1"/>
  <c r="AE42" i="12"/>
  <c r="AD43" i="12" s="1"/>
  <c r="AD42" i="12"/>
  <c r="AK42" i="12"/>
  <c r="AD49" i="12" s="1"/>
  <c r="AJ42" i="12"/>
  <c r="AD48" i="12" s="1"/>
  <c r="AI42" i="12"/>
  <c r="AD47" i="12" s="1"/>
  <c r="BJ9" i="12"/>
  <c r="V18" i="12"/>
  <c r="F34" i="12" s="1"/>
  <c r="AB21" i="12"/>
  <c r="I40" i="12" s="1"/>
  <c r="AH27" i="12"/>
  <c r="O46" i="12" s="1"/>
  <c r="AE35" i="12"/>
  <c r="W43" i="12" s="1"/>
  <c r="W35" i="12"/>
  <c r="AD35" i="12"/>
  <c r="W42" i="12" s="1"/>
  <c r="AK35" i="12"/>
  <c r="W49" i="12" s="1"/>
  <c r="AC35" i="12"/>
  <c r="W41" i="12" s="1"/>
  <c r="AJ35" i="12"/>
  <c r="W48" i="12" s="1"/>
  <c r="AB35" i="12"/>
  <c r="W40" i="12" s="1"/>
  <c r="AI35" i="12"/>
  <c r="W47" i="12" s="1"/>
  <c r="AA35" i="12"/>
  <c r="W39" i="12" s="1"/>
  <c r="AH35" i="12"/>
  <c r="W46" i="12" s="1"/>
  <c r="Z35" i="12"/>
  <c r="W38" i="12" s="1"/>
  <c r="AG35" i="12"/>
  <c r="W45" i="12" s="1"/>
  <c r="Y35" i="12"/>
  <c r="W37" i="12" s="1"/>
  <c r="AE43" i="12"/>
  <c r="AK43" i="12"/>
  <c r="AE49" i="12" s="1"/>
  <c r="AJ43" i="12"/>
  <c r="AE48" i="12" s="1"/>
  <c r="AI43" i="12"/>
  <c r="AE47" i="12" s="1"/>
  <c r="AH43" i="12"/>
  <c r="AE46" i="12" s="1"/>
  <c r="AG43" i="12"/>
  <c r="AE45" i="12" s="1"/>
  <c r="G16" i="12"/>
  <c r="O16" i="12"/>
  <c r="W16" i="12"/>
  <c r="AE16" i="12"/>
  <c r="K17" i="12"/>
  <c r="E23" i="12" s="1"/>
  <c r="S17" i="12"/>
  <c r="E31" i="12" s="1"/>
  <c r="AA17" i="12"/>
  <c r="E39" i="12" s="1"/>
  <c r="AI17" i="12"/>
  <c r="E47" i="12" s="1"/>
  <c r="L19" i="12"/>
  <c r="G24" i="12" s="1"/>
  <c r="T19" i="12"/>
  <c r="G32" i="12" s="1"/>
  <c r="AB19" i="12"/>
  <c r="G40" i="12" s="1"/>
  <c r="AJ19" i="12"/>
  <c r="G48" i="12" s="1"/>
  <c r="H20" i="12"/>
  <c r="P20" i="12"/>
  <c r="H28" i="12" s="1"/>
  <c r="X20" i="12"/>
  <c r="H36" i="12" s="1"/>
  <c r="AF20" i="12"/>
  <c r="H44" i="12" s="1"/>
  <c r="M21" i="12"/>
  <c r="I25" i="12" s="1"/>
  <c r="U21" i="12"/>
  <c r="I33" i="12" s="1"/>
  <c r="AC21" i="12"/>
  <c r="I41" i="12" s="1"/>
  <c r="AK21" i="12"/>
  <c r="I49" i="12" s="1"/>
  <c r="J22" i="12"/>
  <c r="R22" i="12"/>
  <c r="J30" i="12" s="1"/>
  <c r="Z22" i="12"/>
  <c r="J38" i="12" s="1"/>
  <c r="AH22" i="12"/>
  <c r="J46" i="12" s="1"/>
  <c r="O23" i="12"/>
  <c r="K27" i="12" s="1"/>
  <c r="W23" i="12"/>
  <c r="K35" i="12" s="1"/>
  <c r="AE23" i="12"/>
  <c r="K43" i="12" s="1"/>
  <c r="L24" i="12"/>
  <c r="T24" i="12"/>
  <c r="L32" i="12" s="1"/>
  <c r="AB24" i="12"/>
  <c r="L40" i="12" s="1"/>
  <c r="AJ24" i="12"/>
  <c r="L48" i="12" s="1"/>
  <c r="Q25" i="12"/>
  <c r="M29" i="12" s="1"/>
  <c r="Y25" i="12"/>
  <c r="M37" i="12" s="1"/>
  <c r="AG25" i="12"/>
  <c r="M45" i="12" s="1"/>
  <c r="S27" i="12"/>
  <c r="O31" i="12" s="1"/>
  <c r="AA27" i="12"/>
  <c r="O39" i="12" s="1"/>
  <c r="AI27" i="12"/>
  <c r="O47" i="12" s="1"/>
  <c r="P28" i="12"/>
  <c r="X28" i="12"/>
  <c r="P36" i="12" s="1"/>
  <c r="AF28" i="12"/>
  <c r="P44" i="12" s="1"/>
  <c r="U29" i="12"/>
  <c r="Q33" i="12" s="1"/>
  <c r="AC29" i="12"/>
  <c r="Q41" i="12" s="1"/>
  <c r="AB30" i="12"/>
  <c r="R40" i="12" s="1"/>
  <c r="AJ36" i="12"/>
  <c r="X48" i="12" s="1"/>
  <c r="AB36" i="12"/>
  <c r="X40" i="12" s="1"/>
  <c r="AI36" i="12"/>
  <c r="X47" i="12" s="1"/>
  <c r="AA36" i="12"/>
  <c r="X39" i="12" s="1"/>
  <c r="AH36" i="12"/>
  <c r="X46" i="12" s="1"/>
  <c r="Z36" i="12"/>
  <c r="X38" i="12" s="1"/>
  <c r="AG36" i="12"/>
  <c r="X45" i="12" s="1"/>
  <c r="Y36" i="12"/>
  <c r="X37" i="12" s="1"/>
  <c r="AF36" i="12"/>
  <c r="X44" i="12" s="1"/>
  <c r="X36" i="12"/>
  <c r="AE36" i="12"/>
  <c r="X43" i="12" s="1"/>
  <c r="AD36" i="12"/>
  <c r="X42" i="12" s="1"/>
  <c r="AJ44" i="12"/>
  <c r="AF48" i="12" s="1"/>
  <c r="AI44" i="12"/>
  <c r="AF47" i="12" s="1"/>
  <c r="AH44" i="12"/>
  <c r="AF46" i="12" s="1"/>
  <c r="AG44" i="12"/>
  <c r="AF45" i="12" s="1"/>
  <c r="AF44" i="12"/>
  <c r="H16" i="12"/>
  <c r="P16" i="12"/>
  <c r="X16" i="12"/>
  <c r="AF16" i="12"/>
  <c r="L17" i="12"/>
  <c r="E24" i="12" s="1"/>
  <c r="T17" i="12"/>
  <c r="E32" i="12" s="1"/>
  <c r="AB17" i="12"/>
  <c r="E40" i="12" s="1"/>
  <c r="AJ17" i="12"/>
  <c r="E48" i="12" s="1"/>
  <c r="M19" i="12"/>
  <c r="G25" i="12" s="1"/>
  <c r="U19" i="12"/>
  <c r="G33" i="12" s="1"/>
  <c r="AC19" i="12"/>
  <c r="G41" i="12" s="1"/>
  <c r="AK19" i="12"/>
  <c r="G49" i="12" s="1"/>
  <c r="I20" i="12"/>
  <c r="H21" i="12" s="1"/>
  <c r="Q20" i="12"/>
  <c r="H29" i="12" s="1"/>
  <c r="Y20" i="12"/>
  <c r="H37" i="12" s="1"/>
  <c r="AG20" i="12"/>
  <c r="H45" i="12" s="1"/>
  <c r="N21" i="12"/>
  <c r="I26" i="12" s="1"/>
  <c r="V21" i="12"/>
  <c r="I34" i="12" s="1"/>
  <c r="AD21" i="12"/>
  <c r="I42" i="12" s="1"/>
  <c r="K22" i="12"/>
  <c r="J23" i="12" s="1"/>
  <c r="S22" i="12"/>
  <c r="J31" i="12" s="1"/>
  <c r="AA22" i="12"/>
  <c r="J39" i="12" s="1"/>
  <c r="AI22" i="12"/>
  <c r="J47" i="12" s="1"/>
  <c r="P23" i="12"/>
  <c r="K28" i="12" s="1"/>
  <c r="X23" i="12"/>
  <c r="K36" i="12" s="1"/>
  <c r="AF23" i="12"/>
  <c r="K44" i="12" s="1"/>
  <c r="M24" i="12"/>
  <c r="L25" i="12" s="1"/>
  <c r="U24" i="12"/>
  <c r="L33" i="12" s="1"/>
  <c r="AC24" i="12"/>
  <c r="L41" i="12" s="1"/>
  <c r="AK24" i="12"/>
  <c r="L49" i="12" s="1"/>
  <c r="R25" i="12"/>
  <c r="M30" i="12" s="1"/>
  <c r="Z25" i="12"/>
  <c r="M38" i="12" s="1"/>
  <c r="AH25" i="12"/>
  <c r="M46" i="12" s="1"/>
  <c r="T27" i="12"/>
  <c r="O32" i="12" s="1"/>
  <c r="AB27" i="12"/>
  <c r="O40" i="12" s="1"/>
  <c r="AJ27" i="12"/>
  <c r="O48" i="12" s="1"/>
  <c r="Q28" i="12"/>
  <c r="P29" i="12" s="1"/>
  <c r="Y28" i="12"/>
  <c r="P37" i="12" s="1"/>
  <c r="AG28" i="12"/>
  <c r="P45" i="12" s="1"/>
  <c r="V29" i="12"/>
  <c r="Q34" i="12" s="1"/>
  <c r="AE30" i="12"/>
  <c r="R43" i="12" s="1"/>
  <c r="V33" i="12"/>
  <c r="U34" i="12" s="1"/>
  <c r="AC36" i="12"/>
  <c r="X41" i="12" s="1"/>
  <c r="AB39" i="12"/>
  <c r="AA40" i="12" s="1"/>
  <c r="AJ29" i="12"/>
  <c r="Q48" i="12" s="1"/>
  <c r="AG37" i="12"/>
  <c r="Y45" i="12" s="1"/>
  <c r="Y37" i="12"/>
  <c r="AF37" i="12"/>
  <c r="Y44" i="12" s="1"/>
  <c r="AE37" i="12"/>
  <c r="Y43" i="12" s="1"/>
  <c r="AD37" i="12"/>
  <c r="Y42" i="12" s="1"/>
  <c r="AK37" i="12"/>
  <c r="Y49" i="12" s="1"/>
  <c r="AC37" i="12"/>
  <c r="Y41" i="12" s="1"/>
  <c r="AJ37" i="12"/>
  <c r="Y48" i="12" s="1"/>
  <c r="AB37" i="12"/>
  <c r="Y40" i="12" s="1"/>
  <c r="AI37" i="12"/>
  <c r="Y47" i="12" s="1"/>
  <c r="AA37" i="12"/>
  <c r="Y39" i="12" s="1"/>
  <c r="AG45" i="12"/>
  <c r="AK45" i="12"/>
  <c r="AG49" i="12" s="1"/>
  <c r="AJ45" i="12"/>
  <c r="AG48" i="12" s="1"/>
  <c r="AI45" i="12"/>
  <c r="AG47" i="12" s="1"/>
  <c r="AM9" i="12"/>
  <c r="AU9" i="12"/>
  <c r="BC9" i="12"/>
  <c r="BK9" i="12"/>
  <c r="I16" i="12"/>
  <c r="Q16" i="12"/>
  <c r="Y16" i="12"/>
  <c r="AG16" i="12"/>
  <c r="E17" i="12"/>
  <c r="M17" i="12"/>
  <c r="E25" i="12" s="1"/>
  <c r="U17" i="12"/>
  <c r="E33" i="12" s="1"/>
  <c r="AC17" i="12"/>
  <c r="E41" i="12" s="1"/>
  <c r="AK17" i="12"/>
  <c r="E49" i="12" s="1"/>
  <c r="N19" i="12"/>
  <c r="G26" i="12" s="1"/>
  <c r="V19" i="12"/>
  <c r="G34" i="12" s="1"/>
  <c r="AD19" i="12"/>
  <c r="G42" i="12" s="1"/>
  <c r="J20" i="12"/>
  <c r="H22" i="12" s="1"/>
  <c r="R20" i="12"/>
  <c r="H30" i="12" s="1"/>
  <c r="Z20" i="12"/>
  <c r="H38" i="12" s="1"/>
  <c r="AH20" i="12"/>
  <c r="H46" i="12" s="1"/>
  <c r="O21" i="12"/>
  <c r="I27" i="12" s="1"/>
  <c r="W21" i="12"/>
  <c r="I35" i="12" s="1"/>
  <c r="AE21" i="12"/>
  <c r="I43" i="12" s="1"/>
  <c r="L22" i="12"/>
  <c r="J24" i="12" s="1"/>
  <c r="T22" i="12"/>
  <c r="J32" i="12" s="1"/>
  <c r="AB22" i="12"/>
  <c r="J40" i="12" s="1"/>
  <c r="AJ22" i="12"/>
  <c r="J48" i="12" s="1"/>
  <c r="Q23" i="12"/>
  <c r="K29" i="12" s="1"/>
  <c r="Y23" i="12"/>
  <c r="K37" i="12" s="1"/>
  <c r="AG23" i="12"/>
  <c r="K45" i="12" s="1"/>
  <c r="N24" i="12"/>
  <c r="L26" i="12" s="1"/>
  <c r="V24" i="12"/>
  <c r="L34" i="12" s="1"/>
  <c r="AD24" i="12"/>
  <c r="L42" i="12" s="1"/>
  <c r="S25" i="12"/>
  <c r="M31" i="12" s="1"/>
  <c r="AA25" i="12"/>
  <c r="M39" i="12" s="1"/>
  <c r="AI25" i="12"/>
  <c r="M47" i="12" s="1"/>
  <c r="U27" i="12"/>
  <c r="O33" i="12" s="1"/>
  <c r="AC27" i="12"/>
  <c r="O41" i="12" s="1"/>
  <c r="AK27" i="12"/>
  <c r="O49" i="12" s="1"/>
  <c r="R28" i="12"/>
  <c r="P30" i="12" s="1"/>
  <c r="Z28" i="12"/>
  <c r="P38" i="12" s="1"/>
  <c r="AH28" i="12"/>
  <c r="P46" i="12" s="1"/>
  <c r="W29" i="12"/>
  <c r="Q35" i="12" s="1"/>
  <c r="AE29" i="12"/>
  <c r="Q43" i="12" s="1"/>
  <c r="S30" i="12"/>
  <c r="R31" i="12" s="1"/>
  <c r="AK36" i="12"/>
  <c r="X49" i="12" s="1"/>
  <c r="AD30" i="12"/>
  <c r="R42" i="12" s="1"/>
  <c r="V30" i="12"/>
  <c r="R34" i="12" s="1"/>
  <c r="AK30" i="12"/>
  <c r="R49" i="12" s="1"/>
  <c r="AC30" i="12"/>
  <c r="R41" i="12" s="1"/>
  <c r="AJ30" i="12"/>
  <c r="R48" i="12" s="1"/>
  <c r="AH30" i="12"/>
  <c r="R46" i="12" s="1"/>
  <c r="Z30" i="12"/>
  <c r="R38" i="12" s="1"/>
  <c r="R30" i="12"/>
  <c r="AG30" i="12"/>
  <c r="R45" i="12" s="1"/>
  <c r="Y30" i="12"/>
  <c r="R37" i="12" s="1"/>
  <c r="AF30" i="12"/>
  <c r="R44" i="12" s="1"/>
  <c r="AD38" i="12"/>
  <c r="Z42" i="12" s="1"/>
  <c r="AK38" i="12"/>
  <c r="Z49" i="12" s="1"/>
  <c r="AC38" i="12"/>
  <c r="Z41" i="12" s="1"/>
  <c r="AJ38" i="12"/>
  <c r="Z48" i="12" s="1"/>
  <c r="AB38" i="12"/>
  <c r="Z40" i="12" s="1"/>
  <c r="AI38" i="12"/>
  <c r="Z47" i="12" s="1"/>
  <c r="AA38" i="12"/>
  <c r="Z39" i="12" s="1"/>
  <c r="AH38" i="12"/>
  <c r="Z46" i="12" s="1"/>
  <c r="Z38" i="12"/>
  <c r="AG38" i="12"/>
  <c r="Z45" i="12" s="1"/>
  <c r="AF38" i="12"/>
  <c r="Z44" i="12" s="1"/>
  <c r="AK46" i="12"/>
  <c r="AH49" i="12" s="1"/>
  <c r="AJ46" i="12"/>
  <c r="AH48" i="12" s="1"/>
  <c r="AI46" i="12"/>
  <c r="AH47" i="12" s="1"/>
  <c r="AH46" i="12"/>
  <c r="AN9" i="12"/>
  <c r="AV9" i="12"/>
  <c r="BD9" i="12"/>
  <c r="BL9" i="12"/>
  <c r="J16" i="12"/>
  <c r="R16" i="12"/>
  <c r="Z16" i="12"/>
  <c r="AH16" i="12"/>
  <c r="F17" i="12"/>
  <c r="E18" i="12" s="1"/>
  <c r="N17" i="12"/>
  <c r="E26" i="12" s="1"/>
  <c r="V17" i="12"/>
  <c r="E34" i="12" s="1"/>
  <c r="AD17" i="12"/>
  <c r="E42" i="12" s="1"/>
  <c r="G19" i="12"/>
  <c r="O19" i="12"/>
  <c r="G27" i="12" s="1"/>
  <c r="W19" i="12"/>
  <c r="G35" i="12" s="1"/>
  <c r="AE19" i="12"/>
  <c r="G43" i="12" s="1"/>
  <c r="K20" i="12"/>
  <c r="H23" i="12" s="1"/>
  <c r="S20" i="12"/>
  <c r="H31" i="12" s="1"/>
  <c r="AA20" i="12"/>
  <c r="H39" i="12" s="1"/>
  <c r="AI20" i="12"/>
  <c r="H47" i="12" s="1"/>
  <c r="P21" i="12"/>
  <c r="I28" i="12" s="1"/>
  <c r="X21" i="12"/>
  <c r="I36" i="12" s="1"/>
  <c r="AF21" i="12"/>
  <c r="I44" i="12" s="1"/>
  <c r="M22" i="12"/>
  <c r="J25" i="12" s="1"/>
  <c r="U22" i="12"/>
  <c r="J33" i="12" s="1"/>
  <c r="AC22" i="12"/>
  <c r="J41" i="12" s="1"/>
  <c r="AK22" i="12"/>
  <c r="J49" i="12" s="1"/>
  <c r="R23" i="12"/>
  <c r="K30" i="12" s="1"/>
  <c r="Z23" i="12"/>
  <c r="K38" i="12" s="1"/>
  <c r="AH23" i="12"/>
  <c r="K46" i="12" s="1"/>
  <c r="O24" i="12"/>
  <c r="L27" i="12" s="1"/>
  <c r="W24" i="12"/>
  <c r="L35" i="12" s="1"/>
  <c r="AE24" i="12"/>
  <c r="L43" i="12" s="1"/>
  <c r="T25" i="12"/>
  <c r="M32" i="12" s="1"/>
  <c r="AB25" i="12"/>
  <c r="M40" i="12" s="1"/>
  <c r="AJ25" i="12"/>
  <c r="M48" i="12" s="1"/>
  <c r="V27" i="12"/>
  <c r="O34" i="12" s="1"/>
  <c r="AD27" i="12"/>
  <c r="O42" i="12" s="1"/>
  <c r="S28" i="12"/>
  <c r="P31" i="12" s="1"/>
  <c r="AA28" i="12"/>
  <c r="P39" i="12" s="1"/>
  <c r="AI28" i="12"/>
  <c r="P47" i="12" s="1"/>
  <c r="X29" i="12"/>
  <c r="Q36" i="12" s="1"/>
  <c r="AF29" i="12"/>
  <c r="Q44" i="12" s="1"/>
  <c r="T30" i="12"/>
  <c r="R32" i="12" s="1"/>
  <c r="X35" i="12"/>
  <c r="W36" i="12" s="1"/>
  <c r="AI31" i="12"/>
  <c r="S47" i="12" s="1"/>
  <c r="AA31" i="12"/>
  <c r="S39" i="12" s="1"/>
  <c r="S31" i="12"/>
  <c r="AH31" i="12"/>
  <c r="S46" i="12" s="1"/>
  <c r="Z31" i="12"/>
  <c r="S38" i="12" s="1"/>
  <c r="AG31" i="12"/>
  <c r="S45" i="12" s="1"/>
  <c r="Y31" i="12"/>
  <c r="S37" i="12" s="1"/>
  <c r="AF31" i="12"/>
  <c r="S44" i="12" s="1"/>
  <c r="X31" i="12"/>
  <c r="S36" i="12" s="1"/>
  <c r="AE31" i="12"/>
  <c r="S43" i="12" s="1"/>
  <c r="W31" i="12"/>
  <c r="S35" i="12" s="1"/>
  <c r="AD31" i="12"/>
  <c r="S42" i="12" s="1"/>
  <c r="V31" i="12"/>
  <c r="S34" i="12" s="1"/>
  <c r="AK31" i="12"/>
  <c r="S49" i="12" s="1"/>
  <c r="AC31" i="12"/>
  <c r="S41" i="12" s="1"/>
  <c r="U31" i="12"/>
  <c r="S33" i="12" s="1"/>
  <c r="AI39" i="12"/>
  <c r="AA47" i="12" s="1"/>
  <c r="AA39" i="12"/>
  <c r="AH39" i="12"/>
  <c r="AA46" i="12" s="1"/>
  <c r="AG39" i="12"/>
  <c r="AA45" i="12" s="1"/>
  <c r="AF39" i="12"/>
  <c r="AA44" i="12" s="1"/>
  <c r="AE39" i="12"/>
  <c r="AA43" i="12" s="1"/>
  <c r="AD39" i="12"/>
  <c r="AA42" i="12" s="1"/>
  <c r="AK39" i="12"/>
  <c r="AA49" i="12" s="1"/>
  <c r="AC39" i="12"/>
  <c r="AA41" i="12" s="1"/>
  <c r="AI47" i="12"/>
  <c r="AK47" i="12"/>
  <c r="AI49" i="12" s="1"/>
  <c r="AO9" i="12"/>
  <c r="AW9" i="12"/>
  <c r="BE9" i="12"/>
  <c r="BM9" i="12"/>
  <c r="K16" i="12"/>
  <c r="S16" i="12"/>
  <c r="AA16" i="12"/>
  <c r="AI16" i="12"/>
  <c r="G17" i="12"/>
  <c r="E19" i="12" s="1"/>
  <c r="O17" i="12"/>
  <c r="E27" i="12" s="1"/>
  <c r="W17" i="12"/>
  <c r="E35" i="12" s="1"/>
  <c r="AE17" i="12"/>
  <c r="E43" i="12" s="1"/>
  <c r="H19" i="12"/>
  <c r="G20" i="12" s="1"/>
  <c r="P19" i="12"/>
  <c r="G28" i="12" s="1"/>
  <c r="X19" i="12"/>
  <c r="G36" i="12" s="1"/>
  <c r="AF19" i="12"/>
  <c r="G44" i="12" s="1"/>
  <c r="L20" i="12"/>
  <c r="H24" i="12" s="1"/>
  <c r="T20" i="12"/>
  <c r="H32" i="12" s="1"/>
  <c r="AB20" i="12"/>
  <c r="H40" i="12" s="1"/>
  <c r="AJ20" i="12"/>
  <c r="H48" i="12" s="1"/>
  <c r="I21" i="12"/>
  <c r="Q21" i="12"/>
  <c r="I29" i="12" s="1"/>
  <c r="Y21" i="12"/>
  <c r="I37" i="12" s="1"/>
  <c r="AG21" i="12"/>
  <c r="I45" i="12" s="1"/>
  <c r="N22" i="12"/>
  <c r="J26" i="12" s="1"/>
  <c r="V22" i="12"/>
  <c r="J34" i="12" s="1"/>
  <c r="AD22" i="12"/>
  <c r="J42" i="12" s="1"/>
  <c r="K23" i="12"/>
  <c r="S23" i="12"/>
  <c r="K31" i="12" s="1"/>
  <c r="AA23" i="12"/>
  <c r="K39" i="12" s="1"/>
  <c r="AI23" i="12"/>
  <c r="K47" i="12" s="1"/>
  <c r="P24" i="12"/>
  <c r="L28" i="12" s="1"/>
  <c r="X24" i="12"/>
  <c r="L36" i="12" s="1"/>
  <c r="AF24" i="12"/>
  <c r="L44" i="12" s="1"/>
  <c r="M25" i="12"/>
  <c r="U25" i="12"/>
  <c r="M33" i="12" s="1"/>
  <c r="AC25" i="12"/>
  <c r="M41" i="12" s="1"/>
  <c r="AK25" i="12"/>
  <c r="M49" i="12" s="1"/>
  <c r="O27" i="12"/>
  <c r="W27" i="12"/>
  <c r="O35" i="12" s="1"/>
  <c r="AE27" i="12"/>
  <c r="O43" i="12" s="1"/>
  <c r="T28" i="12"/>
  <c r="P32" i="12" s="1"/>
  <c r="AB28" i="12"/>
  <c r="P40" i="12" s="1"/>
  <c r="AJ28" i="12"/>
  <c r="P48" i="12" s="1"/>
  <c r="Q29" i="12"/>
  <c r="Y29" i="12"/>
  <c r="Q37" i="12" s="1"/>
  <c r="AG29" i="12"/>
  <c r="Q45" i="12" s="1"/>
  <c r="U30" i="12"/>
  <c r="R33" i="12" s="1"/>
  <c r="AF35" i="12"/>
  <c r="W44" i="12" s="1"/>
  <c r="AE38" i="12"/>
  <c r="Z43" i="12" s="1"/>
  <c r="AK44" i="12"/>
  <c r="AF49" i="12" s="1"/>
  <c r="AJ47" i="12"/>
  <c r="AI48" i="12" s="1"/>
  <c r="AF32" i="12"/>
  <c r="T44" i="12" s="1"/>
  <c r="X32" i="12"/>
  <c r="T36" i="12" s="1"/>
  <c r="AE32" i="12"/>
  <c r="T43" i="12" s="1"/>
  <c r="W32" i="12"/>
  <c r="T35" i="12" s="1"/>
  <c r="AD32" i="12"/>
  <c r="T42" i="12" s="1"/>
  <c r="V32" i="12"/>
  <c r="T34" i="12" s="1"/>
  <c r="AK32" i="12"/>
  <c r="T49" i="12" s="1"/>
  <c r="AC32" i="12"/>
  <c r="T41" i="12" s="1"/>
  <c r="U32" i="12"/>
  <c r="T33" i="12" s="1"/>
  <c r="AJ32" i="12"/>
  <c r="T48" i="12" s="1"/>
  <c r="AB32" i="12"/>
  <c r="T40" i="12" s="1"/>
  <c r="T32" i="12"/>
  <c r="AI32" i="12"/>
  <c r="T47" i="12" s="1"/>
  <c r="AA32" i="12"/>
  <c r="T39" i="12" s="1"/>
  <c r="AH32" i="12"/>
  <c r="T46" i="12" s="1"/>
  <c r="Z32" i="12"/>
  <c r="T38" i="12" s="1"/>
  <c r="AF40" i="12"/>
  <c r="AB44" i="12" s="1"/>
  <c r="AE40" i="12"/>
  <c r="AB43" i="12" s="1"/>
  <c r="AD40" i="12"/>
  <c r="AB42" i="12" s="1"/>
  <c r="AK40" i="12"/>
  <c r="AB49" i="12" s="1"/>
  <c r="AC40" i="12"/>
  <c r="AB41" i="12" s="1"/>
  <c r="AJ40" i="12"/>
  <c r="AB48" i="12" s="1"/>
  <c r="AB40" i="12"/>
  <c r="AI40" i="12"/>
  <c r="AB47" i="12" s="1"/>
  <c r="AH40" i="12"/>
  <c r="AB46" i="12" s="1"/>
  <c r="AK48" i="12"/>
  <c r="AJ49" i="12" s="1"/>
  <c r="AJ48" i="12"/>
  <c r="AP9" i="12"/>
  <c r="AX9" i="12"/>
  <c r="BF9" i="12"/>
  <c r="BN9" i="12"/>
  <c r="D16" i="12"/>
  <c r="L16" i="12"/>
  <c r="T16" i="12"/>
  <c r="AB16" i="12"/>
  <c r="AJ16" i="12"/>
  <c r="H17" i="12"/>
  <c r="E20" i="12" s="1"/>
  <c r="P17" i="12"/>
  <c r="E28" i="12" s="1"/>
  <c r="X17" i="12"/>
  <c r="E36" i="12" s="1"/>
  <c r="AF17" i="12"/>
  <c r="E44" i="12" s="1"/>
  <c r="I19" i="12"/>
  <c r="G21" i="12" s="1"/>
  <c r="Q19" i="12"/>
  <c r="G29" i="12" s="1"/>
  <c r="Y19" i="12"/>
  <c r="G37" i="12" s="1"/>
  <c r="AG19" i="12"/>
  <c r="G45" i="12" s="1"/>
  <c r="M20" i="12"/>
  <c r="H25" i="12" s="1"/>
  <c r="U20" i="12"/>
  <c r="H33" i="12" s="1"/>
  <c r="AC20" i="12"/>
  <c r="H41" i="12" s="1"/>
  <c r="AK20" i="12"/>
  <c r="H49" i="12" s="1"/>
  <c r="J21" i="12"/>
  <c r="I22" i="12" s="1"/>
  <c r="R21" i="12"/>
  <c r="I30" i="12" s="1"/>
  <c r="Z21" i="12"/>
  <c r="I38" i="12" s="1"/>
  <c r="AH21" i="12"/>
  <c r="I46" i="12" s="1"/>
  <c r="O22" i="12"/>
  <c r="J27" i="12" s="1"/>
  <c r="W22" i="12"/>
  <c r="J35" i="12" s="1"/>
  <c r="AE22" i="12"/>
  <c r="J43" i="12" s="1"/>
  <c r="L23" i="12"/>
  <c r="K24" i="12" s="1"/>
  <c r="T23" i="12"/>
  <c r="K32" i="12" s="1"/>
  <c r="AB23" i="12"/>
  <c r="K40" i="12" s="1"/>
  <c r="AJ23" i="12"/>
  <c r="K48" i="12" s="1"/>
  <c r="Q24" i="12"/>
  <c r="L29" i="12" s="1"/>
  <c r="Y24" i="12"/>
  <c r="L37" i="12" s="1"/>
  <c r="AG24" i="12"/>
  <c r="L45" i="12" s="1"/>
  <c r="N25" i="12"/>
  <c r="M26" i="12" s="1"/>
  <c r="V25" i="12"/>
  <c r="M34" i="12" s="1"/>
  <c r="AD25" i="12"/>
  <c r="M42" i="12" s="1"/>
  <c r="P27" i="12"/>
  <c r="O28" i="12" s="1"/>
  <c r="X27" i="12"/>
  <c r="O36" i="12" s="1"/>
  <c r="AF27" i="12"/>
  <c r="O44" i="12" s="1"/>
  <c r="U28" i="12"/>
  <c r="P33" i="12" s="1"/>
  <c r="AC28" i="12"/>
  <c r="P41" i="12" s="1"/>
  <c r="AK28" i="12"/>
  <c r="P49" i="12" s="1"/>
  <c r="R29" i="12"/>
  <c r="Q30" i="12" s="1"/>
  <c r="Z29" i="12"/>
  <c r="Q38" i="12" s="1"/>
  <c r="AH29" i="12"/>
  <c r="Q46" i="12" s="1"/>
  <c r="W30" i="12"/>
  <c r="R35" i="12" s="1"/>
  <c r="AG32" i="12"/>
  <c r="T45" i="12" s="1"/>
  <c r="AK33" i="12"/>
  <c r="U49" i="12" s="1"/>
  <c r="AC33" i="12"/>
  <c r="U41" i="12" s="1"/>
  <c r="U33" i="12"/>
  <c r="AJ33" i="12"/>
  <c r="U48" i="12" s="1"/>
  <c r="AB33" i="12"/>
  <c r="U40" i="12" s="1"/>
  <c r="AI33" i="12"/>
  <c r="U47" i="12" s="1"/>
  <c r="AA33" i="12"/>
  <c r="U39" i="12" s="1"/>
  <c r="AH33" i="12"/>
  <c r="U46" i="12" s="1"/>
  <c r="Z33" i="12"/>
  <c r="U38" i="12" s="1"/>
  <c r="AG33" i="12"/>
  <c r="U45" i="12" s="1"/>
  <c r="Y33" i="12"/>
  <c r="U37" i="12" s="1"/>
  <c r="AF33" i="12"/>
  <c r="U44" i="12" s="1"/>
  <c r="X33" i="12"/>
  <c r="U36" i="12" s="1"/>
  <c r="AE33" i="12"/>
  <c r="U43" i="12" s="1"/>
  <c r="W33" i="12"/>
  <c r="U35" i="12" s="1"/>
  <c r="AK41" i="12"/>
  <c r="AC49" i="12" s="1"/>
  <c r="AC41" i="12"/>
  <c r="AJ41" i="12"/>
  <c r="AC48" i="12" s="1"/>
  <c r="AI41" i="12"/>
  <c r="AC47" i="12" s="1"/>
  <c r="AH41" i="12"/>
  <c r="AC46" i="12" s="1"/>
  <c r="AG41" i="12"/>
  <c r="AC45" i="12" s="1"/>
  <c r="AF41" i="12"/>
  <c r="AC44" i="12" s="1"/>
  <c r="AE41" i="12"/>
  <c r="AC43" i="12" s="1"/>
  <c r="AK49" i="12"/>
  <c r="AQ9" i="12"/>
  <c r="AY9" i="12"/>
  <c r="BG9" i="12"/>
  <c r="BO9" i="12"/>
  <c r="E16" i="12"/>
  <c r="M16" i="12"/>
  <c r="U16" i="12"/>
  <c r="AC16" i="12"/>
  <c r="I17" i="12"/>
  <c r="E21" i="12" s="1"/>
  <c r="Q17" i="12"/>
  <c r="E29" i="12" s="1"/>
  <c r="Y17" i="12"/>
  <c r="E37" i="12" s="1"/>
  <c r="J19" i="12"/>
  <c r="G22" i="12" s="1"/>
  <c r="R19" i="12"/>
  <c r="G30" i="12" s="1"/>
  <c r="Z19" i="12"/>
  <c r="G38" i="12" s="1"/>
  <c r="N20" i="12"/>
  <c r="H26" i="12" s="1"/>
  <c r="V20" i="12"/>
  <c r="H34" i="12" s="1"/>
  <c r="K21" i="12"/>
  <c r="I23" i="12" s="1"/>
  <c r="S21" i="12"/>
  <c r="I31" i="12" s="1"/>
  <c r="AA21" i="12"/>
  <c r="I39" i="12" s="1"/>
  <c r="P22" i="12"/>
  <c r="J28" i="12" s="1"/>
  <c r="X22" i="12"/>
  <c r="J36" i="12" s="1"/>
  <c r="M23" i="12"/>
  <c r="K25" i="12" s="1"/>
  <c r="U23" i="12"/>
  <c r="K33" i="12" s="1"/>
  <c r="AC23" i="12"/>
  <c r="K41" i="12" s="1"/>
  <c r="R24" i="12"/>
  <c r="L30" i="12" s="1"/>
  <c r="Z24" i="12"/>
  <c r="L38" i="12" s="1"/>
  <c r="O25" i="12"/>
  <c r="M27" i="12" s="1"/>
  <c r="W25" i="12"/>
  <c r="M35" i="12" s="1"/>
  <c r="Q27" i="12"/>
  <c r="O29" i="12" s="1"/>
  <c r="Y27" i="12"/>
  <c r="O37" i="12" s="1"/>
  <c r="V28" i="12"/>
  <c r="P34" i="12" s="1"/>
  <c r="S29" i="12"/>
  <c r="Q31" i="12" s="1"/>
  <c r="AA29" i="12"/>
  <c r="Q39" i="12" s="1"/>
  <c r="AI29" i="12"/>
  <c r="Q47" i="12" s="1"/>
  <c r="X30" i="12"/>
  <c r="R36" i="12" s="1"/>
  <c r="T31" i="12"/>
  <c r="S32" i="12" s="1"/>
  <c r="Z37" i="12"/>
  <c r="Y38" i="12" s="1"/>
  <c r="AF43" i="12"/>
  <c r="AE44" i="12" s="1"/>
  <c r="BV22" i="11"/>
  <c r="AQ22" i="11"/>
  <c r="AY22" i="11"/>
  <c r="BG22" i="11"/>
  <c r="BO22" i="11"/>
  <c r="BW22" i="11"/>
  <c r="AR22" i="11"/>
  <c r="AZ22" i="11"/>
  <c r="BH22" i="11"/>
  <c r="BP22" i="11"/>
  <c r="BX22" i="11"/>
  <c r="BF22" i="11"/>
  <c r="AS22" i="11"/>
  <c r="BA22" i="11"/>
  <c r="BI22" i="11"/>
  <c r="BQ22" i="11"/>
  <c r="BY22" i="11"/>
  <c r="AT22" i="11"/>
  <c r="BB22" i="11"/>
  <c r="BJ22" i="11"/>
  <c r="BR22" i="11"/>
  <c r="BC22" i="11"/>
  <c r="BK22" i="11"/>
  <c r="BS22" i="11"/>
  <c r="AU22" i="11"/>
  <c r="AP22" i="11"/>
  <c r="BN22" i="11"/>
  <c r="AN22" i="11"/>
  <c r="AV22" i="11"/>
  <c r="BD22" i="11"/>
  <c r="BL22" i="11"/>
  <c r="BT22" i="11"/>
  <c r="AX22" i="11"/>
  <c r="AO22" i="11"/>
  <c r="AW22" i="11"/>
  <c r="BE22" i="11"/>
  <c r="BM22" i="11"/>
  <c r="BU22" i="11"/>
  <c r="AJ11" i="12" l="1"/>
  <c r="AU11" i="12"/>
  <c r="D27" i="12"/>
  <c r="AL11" i="12"/>
  <c r="AM11" i="12"/>
  <c r="D19" i="12"/>
  <c r="D41" i="12"/>
  <c r="BI11" i="12"/>
  <c r="D47" i="12"/>
  <c r="BO11" i="12"/>
  <c r="BJ11" i="12"/>
  <c r="D33" i="12"/>
  <c r="BA11" i="12"/>
  <c r="D40" i="12"/>
  <c r="BH11" i="12"/>
  <c r="D39" i="12"/>
  <c r="BG11" i="12"/>
  <c r="D38" i="12"/>
  <c r="BF11" i="12"/>
  <c r="D37" i="12"/>
  <c r="BE11" i="12"/>
  <c r="D36" i="12"/>
  <c r="BD11" i="12"/>
  <c r="D46" i="12"/>
  <c r="BN11" i="12"/>
  <c r="D25" i="12"/>
  <c r="AS11" i="12"/>
  <c r="D32" i="12"/>
  <c r="AZ11" i="12"/>
  <c r="D31" i="12"/>
  <c r="AY11" i="12"/>
  <c r="D30" i="12"/>
  <c r="AX11" i="12"/>
  <c r="AW11" i="12"/>
  <c r="D29" i="12"/>
  <c r="AV11" i="12"/>
  <c r="D28" i="12"/>
  <c r="BB11" i="12"/>
  <c r="D48" i="12"/>
  <c r="BP11" i="12"/>
  <c r="D45" i="12"/>
  <c r="BM11" i="12"/>
  <c r="AK11" i="12"/>
  <c r="D17" i="12"/>
  <c r="AR11" i="12"/>
  <c r="D24" i="12"/>
  <c r="D23" i="12"/>
  <c r="AQ11" i="12"/>
  <c r="D22" i="12"/>
  <c r="AP11" i="12"/>
  <c r="AO11" i="12"/>
  <c r="D21" i="12"/>
  <c r="AN11" i="12"/>
  <c r="D20" i="12"/>
  <c r="D43" i="12"/>
  <c r="BK11" i="12"/>
  <c r="AT11" i="12"/>
  <c r="D44" i="12"/>
  <c r="BL11" i="12"/>
  <c r="D35" i="12"/>
  <c r="BC11" i="12"/>
  <c r="D49" i="12"/>
  <c r="C29" i="11"/>
  <c r="AN24" i="11" s="1"/>
  <c r="AT28" i="11"/>
  <c r="AP17" i="12" l="1"/>
  <c r="AP19" i="12" s="1"/>
  <c r="BY24" i="11"/>
  <c r="BV24" i="11"/>
  <c r="BU24" i="11"/>
  <c r="BT24" i="11"/>
  <c r="K54" i="19"/>
  <c r="L54" i="19" s="1"/>
  <c r="K44" i="19"/>
  <c r="L44" i="19" s="1"/>
  <c r="K34" i="19"/>
  <c r="L34" i="19" s="1"/>
  <c r="K24" i="19"/>
  <c r="L24" i="19" s="1"/>
  <c r="K14" i="19"/>
  <c r="L14" i="19" s="1"/>
  <c r="K4" i="19"/>
  <c r="L4" i="19" s="1"/>
  <c r="K44" i="18"/>
  <c r="L44" i="18" s="1"/>
  <c r="K34" i="18"/>
  <c r="L34" i="18" s="1"/>
  <c r="K24" i="18"/>
  <c r="L24" i="18" s="1"/>
  <c r="K14" i="18"/>
  <c r="L14" i="18" s="1"/>
  <c r="K4" i="18"/>
  <c r="L4" i="18" s="1"/>
  <c r="K104" i="17"/>
  <c r="L104" i="17" s="1"/>
  <c r="K94" i="17"/>
  <c r="L94" i="17" s="1"/>
  <c r="K84" i="17"/>
  <c r="L84" i="17" s="1"/>
  <c r="K74" i="17"/>
  <c r="L74" i="17" s="1"/>
  <c r="K64" i="17"/>
  <c r="L64" i="17" s="1"/>
  <c r="K54" i="17"/>
  <c r="L54" i="17" s="1"/>
  <c r="K44" i="17"/>
  <c r="L44" i="17" s="1"/>
  <c r="K34" i="17"/>
  <c r="L34" i="17" s="1"/>
  <c r="K24" i="17"/>
  <c r="L24" i="17" s="1"/>
  <c r="L14" i="17"/>
  <c r="K4" i="17"/>
  <c r="L4" i="17" s="1"/>
  <c r="K3" i="17"/>
  <c r="L3" i="17" s="1"/>
  <c r="H60" i="8"/>
  <c r="P92" i="8" s="1"/>
  <c r="I13" i="20"/>
  <c r="J13" i="20" s="1"/>
  <c r="J2" i="20"/>
  <c r="K3" i="19" l="1"/>
  <c r="L3" i="19" s="1"/>
  <c r="L33" i="19"/>
  <c r="G41" i="8"/>
  <c r="L60" i="19"/>
  <c r="K53" i="19"/>
  <c r="L53" i="19" s="1"/>
  <c r="K43" i="19"/>
  <c r="L43" i="19" s="1"/>
  <c r="K23" i="19"/>
  <c r="L23" i="19" s="1"/>
  <c r="L20" i="19"/>
  <c r="K13" i="19"/>
  <c r="L13" i="19" s="1"/>
  <c r="K43" i="18"/>
  <c r="L43" i="18" s="1"/>
  <c r="K33" i="18"/>
  <c r="L33" i="18" s="1"/>
  <c r="K23" i="18"/>
  <c r="L23" i="18" s="1"/>
  <c r="K13" i="18"/>
  <c r="L13" i="18" s="1"/>
  <c r="K3" i="18"/>
  <c r="L3" i="18" s="1"/>
  <c r="L10" i="18"/>
  <c r="K93" i="17"/>
  <c r="L93" i="17" s="1"/>
  <c r="K83" i="17"/>
  <c r="L83" i="17" s="1"/>
  <c r="L80" i="17"/>
  <c r="K73" i="17"/>
  <c r="L73" i="17" s="1"/>
  <c r="K63" i="17"/>
  <c r="L63" i="17" s="1"/>
  <c r="L60" i="17"/>
  <c r="K53" i="17"/>
  <c r="L53" i="17" s="1"/>
  <c r="K43" i="17"/>
  <c r="L43" i="17" s="1"/>
  <c r="K33" i="17"/>
  <c r="L33" i="17" s="1"/>
  <c r="L30" i="17"/>
  <c r="K23" i="17"/>
  <c r="L23" i="17" s="1"/>
  <c r="L20" i="17"/>
  <c r="K13" i="17"/>
  <c r="L13" i="17" s="1"/>
  <c r="L10" i="17"/>
  <c r="H62" i="8" l="1"/>
  <c r="P94" i="8" s="1"/>
  <c r="G42" i="8"/>
  <c r="G40" i="8"/>
  <c r="H40" i="8" s="1"/>
  <c r="P72" i="8" s="1"/>
  <c r="G39" i="8"/>
  <c r="H39" i="8" s="1"/>
  <c r="P71" i="8" s="1"/>
  <c r="G38" i="8"/>
  <c r="H38" i="8" s="1"/>
  <c r="P70" i="8" s="1"/>
  <c r="G37" i="8"/>
  <c r="H37" i="8" s="1"/>
  <c r="P69" i="8" s="1"/>
  <c r="G56" i="8"/>
  <c r="H56" i="8" s="1"/>
  <c r="P88" i="8" s="1"/>
  <c r="G55" i="8"/>
  <c r="H55" i="8" s="1"/>
  <c r="P87" i="8" s="1"/>
  <c r="G58" i="8" l="1"/>
  <c r="H58" i="8" s="1"/>
  <c r="P90" i="8" s="1"/>
  <c r="G57" i="8"/>
  <c r="H57" i="8" s="1"/>
  <c r="P89" i="8" s="1"/>
  <c r="H50" i="8"/>
  <c r="P82" i="8" s="1"/>
  <c r="G49" i="8"/>
  <c r="H49" i="8" s="1"/>
  <c r="P81" i="8" s="1"/>
  <c r="G48" i="8"/>
  <c r="H48" i="8" s="1"/>
  <c r="P80" i="8" s="1"/>
  <c r="G47" i="8"/>
  <c r="H47" i="8" s="1"/>
  <c r="P79" i="8" s="1"/>
  <c r="G46" i="8"/>
  <c r="H46" i="8" s="1"/>
  <c r="P78" i="8" s="1"/>
  <c r="G45" i="8"/>
  <c r="H45" i="8" s="1"/>
  <c r="P77" i="8" s="1"/>
  <c r="G44" i="8"/>
  <c r="H44" i="8" s="1"/>
  <c r="P76" i="8" s="1"/>
  <c r="G43" i="8"/>
  <c r="H43" i="8" s="1"/>
  <c r="P75" i="8" s="1"/>
  <c r="H42" i="8"/>
  <c r="P74" i="8" s="1"/>
  <c r="H41" i="8"/>
  <c r="P73" i="8" s="1"/>
  <c r="G36" i="8"/>
  <c r="H36" i="8" s="1"/>
  <c r="P68" i="8" s="1"/>
  <c r="J36" i="8" s="1"/>
  <c r="AV24" i="11" l="1"/>
  <c r="AZ24" i="11"/>
  <c r="BQ24" i="11"/>
  <c r="BS24" i="11"/>
  <c r="BO24" i="11"/>
  <c r="BH24" i="11"/>
  <c r="BN24" i="11"/>
  <c r="AT24" i="11"/>
  <c r="BR24" i="11"/>
  <c r="AX24" i="11"/>
  <c r="AP24" i="11"/>
  <c r="BB24" i="11"/>
  <c r="BE24" i="11"/>
  <c r="BP24" i="11"/>
  <c r="AY24" i="11"/>
  <c r="BD24" i="11"/>
  <c r="BJ24" i="11"/>
  <c r="BG24" i="11"/>
  <c r="BM24" i="11"/>
  <c r="AS24" i="11"/>
  <c r="AU24" i="11"/>
  <c r="AQ24" i="11"/>
  <c r="AR24" i="11"/>
  <c r="AW24" i="11"/>
  <c r="BF24" i="11"/>
  <c r="BA24" i="11"/>
  <c r="BC24" i="11"/>
  <c r="BL24" i="11"/>
  <c r="AO24" i="11"/>
  <c r="BI24" i="11"/>
  <c r="BK24" i="11"/>
  <c r="H59" i="8"/>
  <c r="P91" i="8" l="1"/>
  <c r="H63" i="8"/>
  <c r="P95" i="8" s="1"/>
  <c r="AT30" i="11"/>
  <c r="AT32" i="11" s="1"/>
  <c r="I53" i="8" l="1"/>
  <c r="D24" i="8" s="1"/>
  <c r="I52" i="8"/>
  <c r="D23" i="8" s="1"/>
  <c r="I54" i="8"/>
  <c r="D25" i="8" s="1"/>
  <c r="I60" i="8"/>
  <c r="I51" i="8"/>
  <c r="D22" i="8" s="1"/>
  <c r="BX24" i="11"/>
  <c r="I36" i="8"/>
  <c r="D7" i="8" s="1"/>
  <c r="B7" i="8" s="1"/>
  <c r="I58" i="8"/>
  <c r="D29" i="8" s="1"/>
  <c r="I40" i="8"/>
  <c r="D11" i="8" s="1"/>
  <c r="I38" i="8"/>
  <c r="D9" i="8" s="1"/>
  <c r="I42" i="8"/>
  <c r="D13" i="8" s="1"/>
  <c r="I56" i="8"/>
  <c r="D27" i="8" s="1"/>
  <c r="I46" i="8"/>
  <c r="D17" i="8" s="1"/>
  <c r="I48" i="8"/>
  <c r="D19" i="8" s="1"/>
  <c r="I55" i="8"/>
  <c r="D26" i="8" s="1"/>
  <c r="I37" i="8"/>
  <c r="D8" i="8" s="1"/>
  <c r="I44" i="8"/>
  <c r="D15" i="8" s="1"/>
  <c r="I57" i="8"/>
  <c r="D28" i="8" s="1"/>
  <c r="I45" i="8"/>
  <c r="D16" i="8" s="1"/>
  <c r="I50" i="8"/>
  <c r="D21" i="8" s="1"/>
  <c r="I62" i="8"/>
  <c r="I41" i="8"/>
  <c r="D12" i="8" s="1"/>
  <c r="B10" i="8" s="1"/>
  <c r="I49" i="8"/>
  <c r="D20" i="8" s="1"/>
  <c r="I47" i="8"/>
  <c r="D18" i="8" s="1"/>
  <c r="I61" i="8"/>
  <c r="I39" i="8"/>
  <c r="D10" i="8" s="1"/>
  <c r="I43" i="8"/>
  <c r="D14" i="8" s="1"/>
  <c r="I59" i="8"/>
  <c r="B9" i="8" l="1"/>
  <c r="B8" i="8"/>
  <c r="B11" i="8"/>
  <c r="D31" i="8"/>
  <c r="B12" i="8" s="1"/>
  <c r="I63" i="8"/>
  <c r="D30" i="8"/>
  <c r="D32" i="8" l="1"/>
  <c r="BW24" i="11" l="1"/>
  <c r="J46" i="8" l="1"/>
  <c r="J48" i="8"/>
  <c r="J60" i="8"/>
  <c r="J58" i="8"/>
  <c r="J54" i="8"/>
  <c r="J47" i="8"/>
  <c r="J52" i="8"/>
  <c r="J61" i="8"/>
  <c r="J56" i="8"/>
  <c r="J44" i="8"/>
  <c r="J39" i="8"/>
  <c r="J50" i="8"/>
  <c r="J45" i="8"/>
  <c r="J57" i="8"/>
  <c r="J49" i="8"/>
  <c r="J38" i="8"/>
  <c r="J51" i="8"/>
  <c r="J42" i="8"/>
  <c r="J41" i="8"/>
  <c r="J43" i="8"/>
  <c r="J62" i="8"/>
  <c r="J40" i="8"/>
  <c r="J53" i="8"/>
  <c r="J37" i="8"/>
  <c r="J59" i="8"/>
  <c r="J55" i="8"/>
</calcChain>
</file>

<file path=xl/sharedStrings.xml><?xml version="1.0" encoding="utf-8"?>
<sst xmlns="http://schemas.openxmlformats.org/spreadsheetml/2006/main" count="1041" uniqueCount="196">
  <si>
    <t>Name</t>
    <phoneticPr fontId="4" type="noConversion"/>
  </si>
  <si>
    <t>Category</t>
    <phoneticPr fontId="4" type="noConversion"/>
  </si>
  <si>
    <t>Market Price per share</t>
    <phoneticPr fontId="4" type="noConversion"/>
  </si>
  <si>
    <t>Share</t>
    <phoneticPr fontId="4" type="noConversion"/>
  </si>
  <si>
    <t>Total Value in original currency</t>
    <phoneticPr fontId="4" type="noConversion"/>
  </si>
  <si>
    <t>Weight</t>
    <phoneticPr fontId="4" type="noConversion"/>
  </si>
  <si>
    <t>Total</t>
    <phoneticPr fontId="4" type="noConversion"/>
  </si>
  <si>
    <r>
      <t>t</t>
    </r>
    <r>
      <rPr>
        <b/>
        <sz val="12"/>
        <color theme="1"/>
        <rFont val="Hei Regular"/>
        <family val="2"/>
      </rPr>
      <t>icker</t>
    </r>
    <phoneticPr fontId="4" type="noConversion"/>
  </si>
  <si>
    <t>Name:</t>
    <phoneticPr fontId="4" type="noConversion"/>
  </si>
  <si>
    <t>Student ID:</t>
    <phoneticPr fontId="4" type="noConversion"/>
  </si>
  <si>
    <t>VOO</t>
  </si>
  <si>
    <t>USD</t>
  </si>
  <si>
    <t>Vanguard S&amp;P 500 ETF</t>
  </si>
  <si>
    <t>CASH</t>
  </si>
  <si>
    <t>Gain/Loss Last Week</t>
  </si>
  <si>
    <t>Initial Portfolio</t>
  </si>
  <si>
    <t>Date</t>
  </si>
  <si>
    <t>Weight</t>
  </si>
  <si>
    <t>Initial Investment(US$)</t>
    <phoneticPr fontId="4" type="noConversion"/>
  </si>
  <si>
    <t>Total Value in USD</t>
    <phoneticPr fontId="4" type="noConversion"/>
  </si>
  <si>
    <t>Original Currency</t>
    <phoneticPr fontId="4" type="noConversion"/>
  </si>
  <si>
    <t>Portofolio 2025 May</t>
  </si>
  <si>
    <t>Martinas Jucys Brady</t>
  </si>
  <si>
    <t>248EB14E</t>
  </si>
  <si>
    <t>BTC</t>
  </si>
  <si>
    <t>Cryptocurrency</t>
  </si>
  <si>
    <t>ITA</t>
  </si>
  <si>
    <t>iShares U.S. Aerospace &amp; Defense ETF</t>
  </si>
  <si>
    <t>EUR</t>
  </si>
  <si>
    <t>RHM.DE</t>
  </si>
  <si>
    <t>Rheinmetal AG</t>
  </si>
  <si>
    <t>RR.L</t>
  </si>
  <si>
    <t>Rolls-Royce Holdings plc</t>
  </si>
  <si>
    <t>PLD</t>
  </si>
  <si>
    <t>Prologis</t>
  </si>
  <si>
    <t>VICI</t>
  </si>
  <si>
    <t>Vici Properties Inc.</t>
  </si>
  <si>
    <t>GBP</t>
  </si>
  <si>
    <t>Currency</t>
  </si>
  <si>
    <t>BNDX</t>
  </si>
  <si>
    <t>Vanguard Total International Bond Index Fund</t>
  </si>
  <si>
    <t>TOTAL ASSETS</t>
  </si>
  <si>
    <t>USD/EUR</t>
  </si>
  <si>
    <t>USD/GBP</t>
  </si>
  <si>
    <t>Bond</t>
  </si>
  <si>
    <t>Communication Services</t>
  </si>
  <si>
    <t>GOOGL</t>
  </si>
  <si>
    <t>Alphabet Inc.</t>
  </si>
  <si>
    <t>TSLA</t>
  </si>
  <si>
    <t>Tesla, Inc.</t>
  </si>
  <si>
    <t>Consumer Cyclical</t>
  </si>
  <si>
    <t>SBUX</t>
  </si>
  <si>
    <t>Starbucks Corporation</t>
  </si>
  <si>
    <t>NKE</t>
  </si>
  <si>
    <t>Nike, Inc.</t>
  </si>
  <si>
    <t>Bitcoin USD</t>
  </si>
  <si>
    <t>XOM</t>
  </si>
  <si>
    <t>Exxon Mobil Corporation</t>
  </si>
  <si>
    <t>Energy</t>
  </si>
  <si>
    <t>SLNG</t>
  </si>
  <si>
    <t>Stabilis Solutions, Inc.</t>
  </si>
  <si>
    <t>EQNR</t>
  </si>
  <si>
    <t>Equinor ASA</t>
  </si>
  <si>
    <t>VWO</t>
  </si>
  <si>
    <t>Vanguard Emerging Markets Stock Index Fund</t>
  </si>
  <si>
    <t>ETF</t>
  </si>
  <si>
    <t>NATO.L</t>
  </si>
  <si>
    <t>Future of Defense UCITS ETF</t>
  </si>
  <si>
    <t>BAC</t>
  </si>
  <si>
    <t>Bank of America Corporation</t>
  </si>
  <si>
    <t>Financial Services</t>
  </si>
  <si>
    <t>V</t>
  </si>
  <si>
    <t>Visa, Inc.</t>
  </si>
  <si>
    <t>Industrials</t>
  </si>
  <si>
    <t>Real Estate</t>
  </si>
  <si>
    <t>TOTAL</t>
  </si>
  <si>
    <t>Bonds</t>
  </si>
  <si>
    <t>Stocks</t>
  </si>
  <si>
    <t>REIT</t>
  </si>
  <si>
    <t>Cash ($, £, €)</t>
  </si>
  <si>
    <t>Sum of weight</t>
  </si>
  <si>
    <t>Portfolio Expected return</t>
  </si>
  <si>
    <t>Portfolio Standard Deviation</t>
  </si>
  <si>
    <t>Expected Sharp ratio</t>
  </si>
  <si>
    <t>Share Price</t>
  </si>
  <si>
    <t>EU</t>
  </si>
  <si>
    <t>Return</t>
  </si>
  <si>
    <t>Risk free rate</t>
  </si>
  <si>
    <t>US Treasury (10Y)</t>
  </si>
  <si>
    <t>NVDA</t>
  </si>
  <si>
    <t>MSFT</t>
  </si>
  <si>
    <t>JNJ</t>
  </si>
  <si>
    <t>PFE</t>
  </si>
  <si>
    <t>NBIS</t>
  </si>
  <si>
    <t>AIR.PA</t>
  </si>
  <si>
    <t>MSTR</t>
  </si>
  <si>
    <t>AMZN</t>
  </si>
  <si>
    <t>MCD</t>
  </si>
  <si>
    <t>MC.PA</t>
  </si>
  <si>
    <t>JPM</t>
  </si>
  <si>
    <t>CRGY</t>
  </si>
  <si>
    <t>SHEL</t>
  </si>
  <si>
    <t>AIR.PM</t>
  </si>
  <si>
    <t>average</t>
  </si>
  <si>
    <t>Variance- Covariance Matrix</t>
    <phoneticPr fontId="0"/>
  </si>
  <si>
    <t>weights</t>
  </si>
  <si>
    <t>A</t>
  </si>
  <si>
    <t>B</t>
  </si>
  <si>
    <t>C</t>
  </si>
  <si>
    <t>D</t>
  </si>
  <si>
    <t>E</t>
  </si>
  <si>
    <t>F</t>
  </si>
  <si>
    <t>G</t>
  </si>
  <si>
    <t>H</t>
  </si>
  <si>
    <t>I</t>
  </si>
  <si>
    <t>J</t>
  </si>
  <si>
    <t>K</t>
  </si>
  <si>
    <t>L</t>
  </si>
  <si>
    <t>M</t>
  </si>
  <si>
    <t>N</t>
  </si>
  <si>
    <t>O</t>
  </si>
  <si>
    <t>P</t>
  </si>
  <si>
    <t>Q</t>
  </si>
  <si>
    <t>R</t>
  </si>
  <si>
    <t>S</t>
  </si>
  <si>
    <t>T</t>
  </si>
  <si>
    <t>U</t>
  </si>
  <si>
    <t>W</t>
  </si>
  <si>
    <t>X</t>
  </si>
  <si>
    <t>Y</t>
  </si>
  <si>
    <t>Z</t>
  </si>
  <si>
    <t>AA</t>
  </si>
  <si>
    <t>AB</t>
  </si>
  <si>
    <t>AC</t>
  </si>
  <si>
    <t>AD</t>
  </si>
  <si>
    <t>AE</t>
  </si>
  <si>
    <t>AF</t>
  </si>
  <si>
    <t>Correlation Matrix</t>
  </si>
  <si>
    <t>Week 1</t>
  </si>
  <si>
    <t>Week 2</t>
  </si>
  <si>
    <t>Week 3</t>
  </si>
  <si>
    <t>Week 4</t>
  </si>
  <si>
    <t>Week 5</t>
  </si>
  <si>
    <t>Week 6</t>
  </si>
  <si>
    <t>~Using Annual data</t>
  </si>
  <si>
    <t>*without NATO.L as not enough data is available</t>
  </si>
  <si>
    <t>~Using Quarterly data</t>
  </si>
  <si>
    <t>**both without Cash assets</t>
  </si>
  <si>
    <t>Weekly Revaluation</t>
  </si>
  <si>
    <t>Total</t>
  </si>
  <si>
    <t>Name</t>
    <phoneticPr fontId="3" type="noConversion"/>
  </si>
  <si>
    <t>Category</t>
    <phoneticPr fontId="3" type="noConversion"/>
  </si>
  <si>
    <t>Currency</t>
    <phoneticPr fontId="3" type="noConversion"/>
  </si>
  <si>
    <t>Date</t>
    <phoneticPr fontId="3" type="noConversion"/>
  </si>
  <si>
    <t>Share</t>
    <phoneticPr fontId="3" type="noConversion"/>
  </si>
  <si>
    <t>Market Price per share</t>
    <phoneticPr fontId="3" type="noConversion"/>
  </si>
  <si>
    <t>Total Value in original currency</t>
    <phoneticPr fontId="3" type="noConversion"/>
  </si>
  <si>
    <t>Gain/Loss</t>
    <phoneticPr fontId="3" type="noConversion"/>
  </si>
  <si>
    <t>Gain/Loss %</t>
    <phoneticPr fontId="3" type="noConversion"/>
  </si>
  <si>
    <t>Ticker</t>
  </si>
  <si>
    <t>Total Value in USD</t>
  </si>
  <si>
    <t>United States Dollar</t>
  </si>
  <si>
    <t>Great British Pound</t>
  </si>
  <si>
    <t>Euro</t>
  </si>
  <si>
    <t>Initial</t>
  </si>
  <si>
    <t>Gain/Loss</t>
  </si>
  <si>
    <t>SOLD</t>
  </si>
  <si>
    <t>After Close</t>
  </si>
  <si>
    <t>BOUGHT</t>
  </si>
  <si>
    <t>ticker</t>
  </si>
  <si>
    <t>Name</t>
  </si>
  <si>
    <t>Category</t>
  </si>
  <si>
    <t>Original Currency</t>
  </si>
  <si>
    <t>Share</t>
  </si>
  <si>
    <t>Market Price per share</t>
  </si>
  <si>
    <t>Total Value in original currency</t>
  </si>
  <si>
    <t>ULVR.L</t>
  </si>
  <si>
    <t>SAN.MC</t>
  </si>
  <si>
    <t>BNP.PA</t>
  </si>
  <si>
    <t>DGE.L</t>
  </si>
  <si>
    <t>RKT.L</t>
  </si>
  <si>
    <t>OR.PA</t>
  </si>
  <si>
    <t>AG</t>
  </si>
  <si>
    <t>AH</t>
  </si>
  <si>
    <t>AI</t>
  </si>
  <si>
    <t>AJ</t>
  </si>
  <si>
    <t>AK</t>
  </si>
  <si>
    <t>AL</t>
  </si>
  <si>
    <t>Unilever PLC</t>
  </si>
  <si>
    <t>Consumer Defensive</t>
  </si>
  <si>
    <t>BNP Paribas SA</t>
  </si>
  <si>
    <t>Diageo plc</t>
  </si>
  <si>
    <t>Reckitt Benckiser Group plc</t>
  </si>
  <si>
    <t xml:space="preserve">After Close </t>
  </si>
  <si>
    <t>Final</t>
  </si>
  <si>
    <t>Final Evaluation - July 4th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</si>
</sst>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quot;€&quot;* #,##0.00_-;_-&quot;€&quot;* &quot;-&quot;??_-;_-@_-"/>
    <numFmt numFmtId="43" formatCode="_-* #,##0.00_-;\-* #,##0.00_-;_-* &quot;-&quot;??_-;_-@_-"/>
    <numFmt numFmtId="164" formatCode="_(* #,##0.00_);_(* \(#,##0.00\);_(* &quot;-&quot;??_);_(@_)"/>
    <numFmt numFmtId="165" formatCode="0.000%"/>
    <numFmt numFmtId="166" formatCode="0.00000"/>
    <numFmt numFmtId="167" formatCode="0.0"/>
    <numFmt numFmtId="168" formatCode="_(* #,##0.0000_);_(* \(#,##0.0000\);_(* &quot;-&quot;??_);_(@_)"/>
    <numFmt numFmtId="169" formatCode="_-[$$-409]* #,##0.00_ ;_-[$$-409]* \-#,##0.00\ ;_-[$$-409]* &quot;-&quot;??_ ;_-@_ "/>
    <numFmt numFmtId="170" formatCode="0.000"/>
  </numFmts>
  <fonts count="24">
    <font>
      <sz val="12"/>
      <color theme="1"/>
      <name val="Calibri"/>
      <family val="2"/>
      <charset val="136"/>
      <scheme val="minor"/>
    </font>
    <font>
      <sz val="11"/>
      <color theme="1"/>
      <name val="Calibri"/>
      <family val="2"/>
      <scheme val="minor"/>
    </font>
    <font>
      <sz val="11"/>
      <color theme="1"/>
      <name val="Calibri"/>
      <family val="2"/>
      <scheme val="minor"/>
    </font>
    <font>
      <sz val="12"/>
      <color theme="1"/>
      <name val="Calibri"/>
      <family val="2"/>
      <charset val="136"/>
      <scheme val="minor"/>
    </font>
    <font>
      <sz val="9"/>
      <name val="Calibri"/>
      <family val="2"/>
      <charset val="136"/>
      <scheme val="minor"/>
    </font>
    <font>
      <sz val="12"/>
      <color theme="1"/>
      <name val="Hei Regular"/>
      <family val="2"/>
    </font>
    <font>
      <sz val="12"/>
      <color theme="1"/>
      <name val="Hei Regular"/>
      <family val="2"/>
    </font>
    <font>
      <b/>
      <sz val="12"/>
      <color theme="1"/>
      <name val="Hei Regular"/>
    </font>
    <font>
      <b/>
      <sz val="12"/>
      <color theme="1"/>
      <name val="Hei Regular"/>
      <family val="2"/>
    </font>
    <font>
      <b/>
      <sz val="12"/>
      <color theme="1"/>
      <name val="Meiryo UI"/>
      <family val="3"/>
      <charset val="128"/>
    </font>
    <font>
      <b/>
      <sz val="16"/>
      <color theme="1"/>
      <name val="Hei Regular"/>
    </font>
    <font>
      <b/>
      <sz val="12"/>
      <color rgb="FF000000"/>
      <name val="Hei Regular"/>
    </font>
    <font>
      <sz val="12"/>
      <color rgb="FF000000"/>
      <name val="Hei Regular"/>
    </font>
    <font>
      <b/>
      <sz val="12"/>
      <color theme="0"/>
      <name val="Hei Regular"/>
    </font>
    <font>
      <sz val="12"/>
      <color theme="1"/>
      <name val="Hei Regular"/>
    </font>
    <font>
      <b/>
      <sz val="12"/>
      <color theme="1"/>
      <name val="Calibri"/>
      <family val="2"/>
      <charset val="136"/>
      <scheme val="minor"/>
    </font>
    <font>
      <u/>
      <sz val="16"/>
      <color theme="1"/>
      <name val="Hei Regular"/>
    </font>
    <font>
      <b/>
      <sz val="11"/>
      <color theme="1"/>
      <name val="Calibri"/>
      <family val="2"/>
      <scheme val="minor"/>
    </font>
    <font>
      <sz val="11"/>
      <color theme="1"/>
      <name val="Meiryo UI"/>
      <family val="3"/>
      <charset val="128"/>
    </font>
    <font>
      <b/>
      <u/>
      <sz val="11"/>
      <color theme="1"/>
      <name val="Meiryo UI"/>
      <family val="3"/>
      <charset val="128"/>
    </font>
    <font>
      <b/>
      <sz val="11"/>
      <color theme="1"/>
      <name val="Meiryo UI"/>
      <family val="3"/>
      <charset val="128"/>
    </font>
    <font>
      <sz val="11"/>
      <color rgb="FFFF0000"/>
      <name val="Meiryo UI"/>
      <family val="3"/>
      <charset val="128"/>
    </font>
    <font>
      <i/>
      <sz val="11"/>
      <color theme="1"/>
      <name val="Calibri"/>
      <family val="2"/>
      <scheme val="minor"/>
    </font>
    <font>
      <sz val="12"/>
      <color theme="1"/>
      <name val="Calibri"/>
      <family val="2"/>
      <scheme val="minor"/>
    </font>
  </fonts>
  <fills count="40">
    <fill>
      <patternFill patternType="none"/>
    </fill>
    <fill>
      <patternFill patternType="gray125"/>
    </fill>
    <fill>
      <patternFill patternType="solid">
        <fgColor rgb="FFE6E5FF"/>
        <bgColor indexed="64"/>
      </patternFill>
    </fill>
    <fill>
      <patternFill patternType="solid">
        <fgColor rgb="FF70B433"/>
        <bgColor indexed="64"/>
      </patternFill>
    </fill>
    <fill>
      <patternFill patternType="solid">
        <fgColor rgb="FFCAD65C"/>
        <bgColor indexed="64"/>
      </patternFill>
    </fill>
    <fill>
      <patternFill patternType="solid">
        <fgColor rgb="FFEDF1C3"/>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rgb="FF115B6F"/>
        <bgColor rgb="FF115B6F"/>
      </patternFill>
    </fill>
    <fill>
      <patternFill patternType="solid">
        <fgColor rgb="FF999999"/>
        <bgColor rgb="FF999999"/>
      </patternFill>
    </fill>
    <fill>
      <patternFill patternType="solid">
        <fgColor rgb="FF70B433"/>
        <bgColor rgb="FF70B433"/>
      </patternFill>
    </fill>
    <fill>
      <patternFill patternType="solid">
        <fgColor rgb="FFD9D9D9"/>
        <bgColor rgb="FFD9D9D9"/>
      </patternFill>
    </fill>
    <fill>
      <patternFill patternType="solid">
        <fgColor theme="4"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1" tint="0.24997711111789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1" tint="0.14999847407452621"/>
        <bgColor indexed="64"/>
      </patternFill>
    </fill>
    <fill>
      <patternFill patternType="solid">
        <fgColor theme="8" tint="-0.249977111117893"/>
        <bgColor indexed="64"/>
      </patternFill>
    </fill>
    <fill>
      <patternFill patternType="solid">
        <fgColor theme="2" tint="-0.749992370372631"/>
        <bgColor indexed="64"/>
      </patternFill>
    </fill>
    <fill>
      <patternFill patternType="solid">
        <fgColor theme="7" tint="-0.249977111117893"/>
        <bgColor indexed="64"/>
      </patternFill>
    </fill>
    <fill>
      <patternFill patternType="solid">
        <fgColor theme="6" tint="-0.249977111117893"/>
        <bgColor indexed="64"/>
      </patternFill>
    </fill>
    <fill>
      <patternFill patternType="solid">
        <fgColor rgb="FF00B050"/>
        <bgColor indexed="64"/>
      </patternFill>
    </fill>
    <fill>
      <patternFill patternType="solid">
        <fgColor rgb="FF92D050"/>
        <bgColor indexed="64"/>
      </patternFill>
    </fill>
    <fill>
      <patternFill patternType="solid">
        <fgColor rgb="FF82BAC9"/>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FF99"/>
        <bgColor indexed="64"/>
      </patternFill>
    </fill>
    <fill>
      <patternFill patternType="solid">
        <fgColor rgb="FFFF0000"/>
        <bgColor indexed="64"/>
      </patternFill>
    </fill>
    <fill>
      <patternFill patternType="solid">
        <fgColor rgb="FF008A87"/>
        <bgColor indexed="64"/>
      </patternFill>
    </fill>
  </fills>
  <borders count="52">
    <border>
      <left/>
      <right/>
      <top/>
      <bottom/>
      <diagonal/>
    </border>
    <border>
      <left style="thin">
        <color theme="0" tint="-0.14999847407452621"/>
      </left>
      <right style="thin">
        <color theme="0" tint="-0.14999847407452621"/>
      </right>
      <top/>
      <bottom style="thin">
        <color theme="0" tint="-0.14999847407452621"/>
      </bottom>
      <diagonal/>
    </border>
    <border>
      <left style="thin">
        <color auto="1"/>
      </left>
      <right/>
      <top style="thin">
        <color auto="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bottom/>
      <diagonal/>
    </border>
    <border>
      <left/>
      <right/>
      <top style="medium">
        <color indexed="64"/>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auto="1"/>
      </right>
      <top style="thin">
        <color auto="1"/>
      </top>
      <bottom/>
      <diagonal/>
    </border>
    <border>
      <left style="thin">
        <color theme="0" tint="-0.14999847407452621"/>
      </left>
      <right style="thin">
        <color theme="0" tint="-0.14999847407452621"/>
      </right>
      <top/>
      <bottom/>
      <diagonal/>
    </border>
    <border>
      <left/>
      <right style="thin">
        <color theme="0" tint="-0.14999847407452621"/>
      </right>
      <top/>
      <bottom style="thin">
        <color theme="0" tint="-0.14999847407452621"/>
      </bottom>
      <diagonal/>
    </border>
    <border>
      <left style="medium">
        <color theme="0" tint="-0.14999847407452621"/>
      </left>
      <right style="thin">
        <color theme="0" tint="-0.14999847407452621"/>
      </right>
      <top style="medium">
        <color theme="0" tint="-0.14999847407452621"/>
      </top>
      <bottom/>
      <diagonal/>
    </border>
    <border>
      <left style="thin">
        <color theme="0" tint="-0.14999847407452621"/>
      </left>
      <right style="thin">
        <color theme="0" tint="-0.14999847407452621"/>
      </right>
      <top style="medium">
        <color theme="0" tint="-0.14999847407452621"/>
      </top>
      <bottom/>
      <diagonal/>
    </border>
    <border>
      <left style="medium">
        <color indexed="64"/>
      </left>
      <right style="thin">
        <color theme="0" tint="-0.14999847407452621"/>
      </right>
      <top style="medium">
        <color indexed="64"/>
      </top>
      <bottom style="thin">
        <color theme="0" tint="-0.14999847407452621"/>
      </bottom>
      <diagonal/>
    </border>
    <border>
      <left style="thin">
        <color theme="0" tint="-0.14999847407452621"/>
      </left>
      <right style="thin">
        <color theme="0" tint="-0.14999847407452621"/>
      </right>
      <top style="medium">
        <color indexed="64"/>
      </top>
      <bottom style="thin">
        <color theme="0" tint="-0.14999847407452621"/>
      </bottom>
      <diagonal/>
    </border>
    <border>
      <left style="thin">
        <color theme="0" tint="-0.14999847407452621"/>
      </left>
      <right style="medium">
        <color indexed="64"/>
      </right>
      <top style="medium">
        <color indexed="64"/>
      </top>
      <bottom style="thin">
        <color theme="0" tint="-0.14999847407452621"/>
      </bottom>
      <diagonal/>
    </border>
    <border>
      <left style="medium">
        <color indexed="64"/>
      </left>
      <right style="thin">
        <color theme="0" tint="-0.14999847407452621"/>
      </right>
      <top style="thin">
        <color theme="0" tint="-0.14999847407452621"/>
      </top>
      <bottom style="thin">
        <color theme="0" tint="-0.14999847407452621"/>
      </bottom>
      <diagonal/>
    </border>
    <border>
      <left style="thin">
        <color theme="0" tint="-0.14999847407452621"/>
      </left>
      <right style="medium">
        <color indexed="64"/>
      </right>
      <top/>
      <bottom style="thin">
        <color theme="0" tint="-0.14999847407452621"/>
      </bottom>
      <diagonal/>
    </border>
    <border>
      <left style="medium">
        <color indexed="64"/>
      </left>
      <right style="thin">
        <color theme="0" tint="-0.14999847407452621"/>
      </right>
      <top/>
      <bottom style="thin">
        <color theme="0" tint="-0.14999847407452621"/>
      </bottom>
      <diagonal/>
    </border>
    <border>
      <left style="thin">
        <color theme="0" tint="-0.14999847407452621"/>
      </left>
      <right style="medium">
        <color indexed="64"/>
      </right>
      <top/>
      <bottom style="medium">
        <color indexed="64"/>
      </bottom>
      <diagonal/>
    </border>
    <border>
      <left/>
      <right/>
      <top style="medium">
        <color indexed="64"/>
      </top>
      <bottom style="medium">
        <color indexed="64"/>
      </bottom>
      <diagonal/>
    </border>
    <border>
      <left/>
      <right/>
      <top style="thin">
        <color theme="0" tint="-0.14999847407452621"/>
      </top>
      <bottom style="medium">
        <color indexed="64"/>
      </bottom>
      <diagonal/>
    </border>
    <border>
      <left style="thin">
        <color theme="0" tint="-0.14999847407452621"/>
      </left>
      <right style="thin">
        <color theme="0" tint="-0.14999847407452621"/>
      </right>
      <top style="medium">
        <color theme="0" tint="-0.14999847407452621"/>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right/>
      <top/>
      <bottom style="thin">
        <color auto="1"/>
      </bottom>
      <diagonal/>
    </border>
    <border>
      <left style="thin">
        <color auto="1"/>
      </left>
      <right/>
      <top style="medium">
        <color theme="0" tint="-0.14999847407452621"/>
      </top>
      <bottom style="medium">
        <color theme="0" tint="-0.14999847407452621"/>
      </bottom>
      <diagonal/>
    </border>
    <border>
      <left style="thin">
        <color auto="1"/>
      </left>
      <right/>
      <top/>
      <bottom style="thin">
        <color theme="0" tint="-0.14999847407452621"/>
      </bottom>
      <diagonal/>
    </border>
    <border>
      <left style="thin">
        <color auto="1"/>
      </left>
      <right/>
      <top/>
      <bottom/>
      <diagonal/>
    </border>
    <border>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thin">
        <color indexed="64"/>
      </right>
      <top style="medium">
        <color indexed="64"/>
      </top>
      <bottom/>
      <diagonal/>
    </border>
  </borders>
  <cellStyleXfs count="8">
    <xf numFmtId="0" fontId="0" fillId="0" borderId="0">
      <alignment vertical="center"/>
    </xf>
    <xf numFmtId="9" fontId="3" fillId="0" borderId="0" applyFont="0" applyFill="0" applyBorder="0" applyAlignment="0" applyProtection="0">
      <alignment vertical="center"/>
    </xf>
    <xf numFmtId="164" fontId="3" fillId="0" borderId="0" applyFont="0" applyFill="0" applyBorder="0" applyAlignment="0" applyProtection="0">
      <alignment vertical="center"/>
    </xf>
    <xf numFmtId="38" fontId="3" fillId="0" borderId="0" applyFont="0" applyFill="0" applyBorder="0" applyAlignment="0" applyProtection="0">
      <alignment vertical="center"/>
    </xf>
    <xf numFmtId="0" fontId="2" fillId="0" borderId="0"/>
    <xf numFmtId="9" fontId="2" fillId="0" borderId="0" applyFont="0" applyFill="0" applyBorder="0" applyAlignment="0" applyProtection="0"/>
    <xf numFmtId="43" fontId="3" fillId="0" borderId="0" applyFont="0" applyFill="0" applyBorder="0" applyAlignment="0" applyProtection="0">
      <alignment vertical="center"/>
    </xf>
    <xf numFmtId="44" fontId="3" fillId="0" borderId="0" applyFont="0" applyFill="0" applyBorder="0" applyAlignment="0" applyProtection="0"/>
  </cellStyleXfs>
  <cellXfs count="304">
    <xf numFmtId="0" fontId="0" fillId="0" borderId="0" xfId="0">
      <alignment vertical="center"/>
    </xf>
    <xf numFmtId="0" fontId="5" fillId="0" borderId="0" xfId="0" applyFont="1">
      <alignment vertical="center"/>
    </xf>
    <xf numFmtId="0" fontId="6" fillId="0" borderId="0" xfId="0" applyFont="1">
      <alignment vertical="center"/>
    </xf>
    <xf numFmtId="0" fontId="5" fillId="0" borderId="0" xfId="0" applyFont="1" applyAlignment="1">
      <alignment horizontal="center" vertical="center" wrapText="1"/>
    </xf>
    <xf numFmtId="49" fontId="5" fillId="0" borderId="0" xfId="0" applyNumberFormat="1" applyFont="1">
      <alignment vertical="center"/>
    </xf>
    <xf numFmtId="49" fontId="6" fillId="0" borderId="0" xfId="0" applyNumberFormat="1" applyFont="1">
      <alignment vertical="center"/>
    </xf>
    <xf numFmtId="164" fontId="5" fillId="0" borderId="0" xfId="2" applyFont="1">
      <alignment vertical="center"/>
    </xf>
    <xf numFmtId="10" fontId="5" fillId="0" borderId="0" xfId="0" applyNumberFormat="1" applyFont="1">
      <alignment vertical="center"/>
    </xf>
    <xf numFmtId="49" fontId="7" fillId="0" borderId="0" xfId="0" applyNumberFormat="1" applyFont="1">
      <alignment vertical="center"/>
    </xf>
    <xf numFmtId="49" fontId="14" fillId="0" borderId="0" xfId="0" applyNumberFormat="1" applyFont="1">
      <alignment vertical="center"/>
    </xf>
    <xf numFmtId="38" fontId="12" fillId="0" borderId="0" xfId="3" applyFont="1" applyFill="1" applyBorder="1" applyAlignment="1">
      <alignment horizontal="right"/>
    </xf>
    <xf numFmtId="164" fontId="13" fillId="7" borderId="1" xfId="2" applyFont="1" applyFill="1" applyBorder="1">
      <alignment vertical="center"/>
    </xf>
    <xf numFmtId="164" fontId="5" fillId="6" borderId="1" xfId="2" applyFont="1" applyFill="1" applyBorder="1">
      <alignment vertical="center"/>
    </xf>
    <xf numFmtId="49" fontId="7" fillId="2" borderId="3" xfId="0" applyNumberFormat="1" applyFont="1" applyFill="1" applyBorder="1" applyAlignment="1">
      <alignment horizontal="center" vertical="center" wrapText="1"/>
    </xf>
    <xf numFmtId="0" fontId="9" fillId="2" borderId="3" xfId="0" applyFont="1" applyFill="1" applyBorder="1" applyAlignment="1">
      <alignment horizontal="center" vertical="center" wrapText="1"/>
    </xf>
    <xf numFmtId="0" fontId="5" fillId="0" borderId="3" xfId="0" applyFont="1" applyBorder="1">
      <alignment vertical="center"/>
    </xf>
    <xf numFmtId="49" fontId="7" fillId="4" borderId="3" xfId="0" applyNumberFormat="1" applyFont="1" applyFill="1" applyBorder="1" applyAlignment="1">
      <alignment horizontal="center" vertical="center"/>
    </xf>
    <xf numFmtId="49" fontId="7" fillId="3" borderId="3" xfId="0" applyNumberFormat="1" applyFont="1" applyFill="1" applyBorder="1" applyAlignment="1">
      <alignment horizontal="center" vertical="center"/>
    </xf>
    <xf numFmtId="164" fontId="13" fillId="7" borderId="4" xfId="2" applyFont="1" applyFill="1" applyBorder="1">
      <alignment vertical="center"/>
    </xf>
    <xf numFmtId="0" fontId="11" fillId="10" borderId="3" xfId="0" applyFont="1" applyFill="1" applyBorder="1" applyAlignment="1">
      <alignment horizontal="left"/>
    </xf>
    <xf numFmtId="49" fontId="7" fillId="0" borderId="3" xfId="0" applyNumberFormat="1" applyFont="1" applyBorder="1">
      <alignment vertical="center"/>
    </xf>
    <xf numFmtId="14" fontId="5" fillId="0" borderId="3" xfId="0" applyNumberFormat="1" applyFont="1" applyBorder="1">
      <alignment vertical="center"/>
    </xf>
    <xf numFmtId="0" fontId="5" fillId="0" borderId="3" xfId="0" applyFont="1" applyBorder="1" applyAlignment="1">
      <alignment horizontal="right" vertical="center"/>
    </xf>
    <xf numFmtId="165" fontId="5" fillId="13" borderId="3" xfId="1" applyNumberFormat="1" applyFont="1" applyFill="1" applyBorder="1">
      <alignment vertical="center"/>
    </xf>
    <xf numFmtId="165" fontId="5" fillId="5" borderId="3" xfId="1" applyNumberFormat="1" applyFont="1" applyFill="1" applyBorder="1">
      <alignment vertical="center"/>
    </xf>
    <xf numFmtId="165" fontId="5" fillId="6" borderId="4" xfId="1" applyNumberFormat="1" applyFont="1" applyFill="1" applyBorder="1">
      <alignment vertical="center"/>
    </xf>
    <xf numFmtId="164" fontId="13" fillId="0" borderId="0" xfId="2" applyFont="1" applyFill="1" applyBorder="1">
      <alignment vertical="center"/>
    </xf>
    <xf numFmtId="165" fontId="5" fillId="0" borderId="0" xfId="1" applyNumberFormat="1" applyFont="1" applyFill="1" applyBorder="1">
      <alignment vertical="center"/>
    </xf>
    <xf numFmtId="49" fontId="5" fillId="14" borderId="6" xfId="0" applyNumberFormat="1" applyFont="1" applyFill="1" applyBorder="1">
      <alignment vertical="center"/>
    </xf>
    <xf numFmtId="0" fontId="5" fillId="14" borderId="7" xfId="0" applyFont="1" applyFill="1" applyBorder="1">
      <alignment vertical="center"/>
    </xf>
    <xf numFmtId="0" fontId="11" fillId="8" borderId="4" xfId="0" applyFont="1" applyFill="1" applyBorder="1" applyAlignment="1">
      <alignment horizontal="left"/>
    </xf>
    <xf numFmtId="49" fontId="10" fillId="0" borderId="2" xfId="0" applyNumberFormat="1" applyFont="1" applyBorder="1">
      <alignment vertical="center"/>
    </xf>
    <xf numFmtId="0" fontId="5" fillId="0" borderId="8" xfId="0" applyFont="1" applyBorder="1">
      <alignment vertical="center"/>
    </xf>
    <xf numFmtId="10" fontId="5" fillId="6" borderId="1" xfId="0" applyNumberFormat="1" applyFont="1" applyFill="1" applyBorder="1">
      <alignment vertical="center"/>
    </xf>
    <xf numFmtId="49" fontId="10" fillId="0" borderId="0" xfId="0" applyNumberFormat="1" applyFont="1">
      <alignment vertical="center"/>
    </xf>
    <xf numFmtId="10" fontId="9" fillId="2" borderId="3" xfId="0" applyNumberFormat="1" applyFont="1" applyFill="1" applyBorder="1" applyAlignment="1">
      <alignment horizontal="center" vertical="center" wrapText="1"/>
    </xf>
    <xf numFmtId="49" fontId="7" fillId="2" borderId="5" xfId="0" applyNumberFormat="1" applyFont="1" applyFill="1" applyBorder="1" applyAlignment="1">
      <alignment horizontal="center" vertical="center" wrapText="1"/>
    </xf>
    <xf numFmtId="0" fontId="7" fillId="2" borderId="5" xfId="0" applyFont="1" applyFill="1" applyBorder="1" applyAlignment="1">
      <alignment horizontal="center" vertical="center" wrapText="1"/>
    </xf>
    <xf numFmtId="164" fontId="9" fillId="2" borderId="5" xfId="2" applyFont="1" applyFill="1" applyBorder="1" applyAlignment="1">
      <alignment horizontal="center" vertical="center" wrapText="1"/>
    </xf>
    <xf numFmtId="0" fontId="9" fillId="2" borderId="5" xfId="0" applyFont="1" applyFill="1" applyBorder="1" applyAlignment="1">
      <alignment horizontal="center" vertical="center" wrapText="1"/>
    </xf>
    <xf numFmtId="14" fontId="9" fillId="2" borderId="5" xfId="0" applyNumberFormat="1" applyFont="1" applyFill="1" applyBorder="1" applyAlignment="1">
      <alignment horizontal="center" vertical="center" wrapText="1"/>
    </xf>
    <xf numFmtId="49" fontId="5" fillId="14" borderId="9" xfId="0" applyNumberFormat="1" applyFont="1" applyFill="1" applyBorder="1">
      <alignment vertical="center"/>
    </xf>
    <xf numFmtId="0" fontId="5" fillId="14" borderId="10" xfId="0" applyFont="1" applyFill="1" applyBorder="1">
      <alignment vertical="center"/>
    </xf>
    <xf numFmtId="49" fontId="7" fillId="4" borderId="11" xfId="0" applyNumberFormat="1" applyFont="1" applyFill="1" applyBorder="1" applyAlignment="1">
      <alignment horizontal="center" vertical="center"/>
    </xf>
    <xf numFmtId="0" fontId="5" fillId="5" borderId="12" xfId="0" applyFont="1" applyFill="1" applyBorder="1">
      <alignment vertical="center"/>
    </xf>
    <xf numFmtId="164" fontId="5" fillId="5" borderId="12" xfId="2" applyFont="1" applyFill="1" applyBorder="1">
      <alignment vertical="center"/>
    </xf>
    <xf numFmtId="10" fontId="5" fillId="5" borderId="12" xfId="0" applyNumberFormat="1" applyFont="1" applyFill="1" applyBorder="1">
      <alignment vertical="center"/>
    </xf>
    <xf numFmtId="0" fontId="15" fillId="22" borderId="14" xfId="0" applyFont="1" applyFill="1" applyBorder="1" applyAlignment="1">
      <alignment horizontal="center"/>
    </xf>
    <xf numFmtId="0" fontId="0" fillId="15" borderId="15" xfId="0" applyFill="1" applyBorder="1" applyAlignment="1"/>
    <xf numFmtId="0" fontId="5" fillId="15" borderId="15" xfId="0" applyFont="1" applyFill="1" applyBorder="1">
      <alignment vertical="center"/>
    </xf>
    <xf numFmtId="164" fontId="5" fillId="15" borderId="15" xfId="2" applyFont="1" applyFill="1" applyBorder="1">
      <alignment vertical="center"/>
    </xf>
    <xf numFmtId="10" fontId="5" fillId="15" borderId="15" xfId="1" applyNumberFormat="1" applyFont="1" applyFill="1" applyBorder="1">
      <alignment vertical="center"/>
    </xf>
    <xf numFmtId="10" fontId="5" fillId="0" borderId="16" xfId="0" applyNumberFormat="1" applyFont="1" applyBorder="1">
      <alignment vertical="center"/>
    </xf>
    <xf numFmtId="0" fontId="15" fillId="23" borderId="17" xfId="0" applyFont="1" applyFill="1" applyBorder="1" applyAlignment="1">
      <alignment horizontal="center"/>
    </xf>
    <xf numFmtId="0" fontId="0" fillId="17" borderId="18" xfId="0" applyFill="1" applyBorder="1" applyAlignment="1"/>
    <xf numFmtId="0" fontId="5" fillId="17" borderId="18" xfId="0" applyFont="1" applyFill="1" applyBorder="1">
      <alignment vertical="center"/>
    </xf>
    <xf numFmtId="164" fontId="5" fillId="17" borderId="18" xfId="2" applyFont="1" applyFill="1" applyBorder="1">
      <alignment vertical="center"/>
    </xf>
    <xf numFmtId="10" fontId="5" fillId="17" borderId="18" xfId="1" applyNumberFormat="1" applyFont="1" applyFill="1" applyBorder="1">
      <alignment vertical="center"/>
    </xf>
    <xf numFmtId="0" fontId="15" fillId="24" borderId="17" xfId="0" applyFont="1" applyFill="1" applyBorder="1" applyAlignment="1">
      <alignment horizontal="center"/>
    </xf>
    <xf numFmtId="0" fontId="0" fillId="16" borderId="18" xfId="0" applyFill="1" applyBorder="1" applyAlignment="1"/>
    <xf numFmtId="0" fontId="5" fillId="16" borderId="18" xfId="0" applyFont="1" applyFill="1" applyBorder="1">
      <alignment vertical="center"/>
    </xf>
    <xf numFmtId="164" fontId="5" fillId="16" borderId="18" xfId="2" applyFont="1" applyFill="1" applyBorder="1">
      <alignment vertical="center"/>
    </xf>
    <xf numFmtId="10" fontId="5" fillId="16" borderId="18" xfId="1" applyNumberFormat="1" applyFont="1" applyFill="1" applyBorder="1">
      <alignment vertical="center"/>
    </xf>
    <xf numFmtId="0" fontId="15" fillId="25" borderId="17" xfId="0" applyFont="1" applyFill="1" applyBorder="1" applyAlignment="1">
      <alignment horizontal="center"/>
    </xf>
    <xf numFmtId="0" fontId="0" fillId="18" borderId="18" xfId="0" applyFill="1" applyBorder="1" applyAlignment="1"/>
    <xf numFmtId="0" fontId="5" fillId="18" borderId="18" xfId="0" applyFont="1" applyFill="1" applyBorder="1">
      <alignment vertical="center"/>
    </xf>
    <xf numFmtId="164" fontId="5" fillId="18" borderId="18" xfId="2" applyFont="1" applyFill="1" applyBorder="1">
      <alignment vertical="center"/>
    </xf>
    <xf numFmtId="10" fontId="5" fillId="18" borderId="18" xfId="1" applyNumberFormat="1" applyFont="1" applyFill="1" applyBorder="1">
      <alignment vertical="center"/>
    </xf>
    <xf numFmtId="0" fontId="15" fillId="26" borderId="17" xfId="0" applyFont="1" applyFill="1" applyBorder="1" applyAlignment="1">
      <alignment horizontal="center"/>
    </xf>
    <xf numFmtId="0" fontId="0" fillId="7" borderId="18" xfId="0" applyFill="1" applyBorder="1" applyAlignment="1"/>
    <xf numFmtId="0" fontId="5" fillId="7" borderId="18" xfId="0" applyFont="1" applyFill="1" applyBorder="1">
      <alignment vertical="center"/>
    </xf>
    <xf numFmtId="164" fontId="5" fillId="7" borderId="18" xfId="2" applyFont="1" applyFill="1" applyBorder="1">
      <alignment vertical="center"/>
    </xf>
    <xf numFmtId="10" fontId="5" fillId="7" borderId="18" xfId="1" applyNumberFormat="1" applyFont="1" applyFill="1" applyBorder="1">
      <alignment vertical="center"/>
    </xf>
    <xf numFmtId="0" fontId="15" fillId="27" borderId="17" xfId="0" applyFont="1" applyFill="1" applyBorder="1" applyAlignment="1">
      <alignment horizontal="center"/>
    </xf>
    <xf numFmtId="0" fontId="0" fillId="19" borderId="18" xfId="0" applyFill="1" applyBorder="1" applyAlignment="1"/>
    <xf numFmtId="0" fontId="5" fillId="19" borderId="18" xfId="0" applyFont="1" applyFill="1" applyBorder="1">
      <alignment vertical="center"/>
    </xf>
    <xf numFmtId="164" fontId="5" fillId="19" borderId="18" xfId="2" applyFont="1" applyFill="1" applyBorder="1">
      <alignment vertical="center"/>
    </xf>
    <xf numFmtId="10" fontId="5" fillId="19" borderId="18" xfId="1" applyNumberFormat="1" applyFont="1" applyFill="1" applyBorder="1">
      <alignment vertical="center"/>
    </xf>
    <xf numFmtId="0" fontId="15" fillId="28" borderId="17" xfId="0" applyFont="1" applyFill="1" applyBorder="1" applyAlignment="1">
      <alignment horizontal="center"/>
    </xf>
    <xf numFmtId="0" fontId="0" fillId="20" borderId="18" xfId="0" applyFill="1" applyBorder="1" applyAlignment="1"/>
    <xf numFmtId="0" fontId="5" fillId="20" borderId="18" xfId="0" applyFont="1" applyFill="1" applyBorder="1">
      <alignment vertical="center"/>
    </xf>
    <xf numFmtId="164" fontId="5" fillId="20" borderId="18" xfId="2" applyFont="1" applyFill="1" applyBorder="1">
      <alignment vertical="center"/>
    </xf>
    <xf numFmtId="10" fontId="5" fillId="20" borderId="18" xfId="1" applyNumberFormat="1" applyFont="1" applyFill="1" applyBorder="1">
      <alignment vertical="center"/>
    </xf>
    <xf numFmtId="0" fontId="15" fillId="12" borderId="17" xfId="0" applyFont="1" applyFill="1" applyBorder="1" applyAlignment="1">
      <alignment horizontal="center"/>
    </xf>
    <xf numFmtId="0" fontId="0" fillId="21" borderId="18" xfId="0" applyFill="1" applyBorder="1" applyAlignment="1"/>
    <xf numFmtId="0" fontId="5" fillId="21" borderId="18" xfId="0" applyFont="1" applyFill="1" applyBorder="1">
      <alignment vertical="center"/>
    </xf>
    <xf numFmtId="164" fontId="5" fillId="21" borderId="18" xfId="2" applyFont="1" applyFill="1" applyBorder="1">
      <alignment vertical="center"/>
    </xf>
    <xf numFmtId="10" fontId="5" fillId="21" borderId="18" xfId="1" applyNumberFormat="1" applyFont="1" applyFill="1" applyBorder="1">
      <alignment vertical="center"/>
    </xf>
    <xf numFmtId="49" fontId="7" fillId="29" borderId="17" xfId="0" applyNumberFormat="1" applyFont="1" applyFill="1" applyBorder="1" applyAlignment="1">
      <alignment horizontal="center" vertical="center"/>
    </xf>
    <xf numFmtId="0" fontId="14" fillId="30" borderId="18" xfId="0" applyFont="1" applyFill="1" applyBorder="1">
      <alignment vertical="center"/>
    </xf>
    <xf numFmtId="0" fontId="5" fillId="30" borderId="18" xfId="0" applyFont="1" applyFill="1" applyBorder="1">
      <alignment vertical="center"/>
    </xf>
    <xf numFmtId="164" fontId="5" fillId="30" borderId="18" xfId="2" applyFont="1" applyFill="1" applyBorder="1">
      <alignment vertical="center"/>
    </xf>
    <xf numFmtId="10" fontId="5" fillId="30" borderId="18" xfId="1" applyNumberFormat="1" applyFont="1" applyFill="1" applyBorder="1">
      <alignment vertical="center"/>
    </xf>
    <xf numFmtId="49" fontId="7" fillId="4" borderId="17" xfId="0" applyNumberFormat="1" applyFont="1" applyFill="1" applyBorder="1" applyAlignment="1">
      <alignment horizontal="center" vertical="center"/>
    </xf>
    <xf numFmtId="0" fontId="5" fillId="5" borderId="18" xfId="0" applyFont="1" applyFill="1" applyBorder="1">
      <alignment vertical="center"/>
    </xf>
    <xf numFmtId="164" fontId="5" fillId="5" borderId="18" xfId="2" applyFont="1" applyFill="1" applyBorder="1">
      <alignment vertical="center"/>
    </xf>
    <xf numFmtId="40" fontId="5" fillId="5" borderId="18" xfId="3" applyNumberFormat="1" applyFont="1" applyFill="1" applyBorder="1">
      <alignment vertical="center"/>
    </xf>
    <xf numFmtId="10" fontId="5" fillId="5" borderId="18" xfId="0" applyNumberFormat="1" applyFont="1" applyFill="1" applyBorder="1">
      <alignment vertical="center"/>
    </xf>
    <xf numFmtId="14" fontId="12" fillId="9" borderId="19" xfId="0" applyNumberFormat="1" applyFont="1" applyFill="1" applyBorder="1" applyAlignment="1">
      <alignment horizontal="right"/>
    </xf>
    <xf numFmtId="38" fontId="12" fillId="11" borderId="20" xfId="3" applyFont="1" applyFill="1" applyBorder="1" applyAlignment="1">
      <alignment horizontal="right"/>
    </xf>
    <xf numFmtId="0" fontId="15" fillId="25" borderId="21" xfId="0" applyFont="1" applyFill="1" applyBorder="1" applyAlignment="1">
      <alignment horizontal="center"/>
    </xf>
    <xf numFmtId="0" fontId="15" fillId="26" borderId="21" xfId="0" applyFont="1" applyFill="1" applyBorder="1" applyAlignment="1">
      <alignment horizontal="center"/>
    </xf>
    <xf numFmtId="0" fontId="15" fillId="27" borderId="21" xfId="0" applyFont="1" applyFill="1" applyBorder="1" applyAlignment="1">
      <alignment horizontal="center"/>
    </xf>
    <xf numFmtId="0" fontId="15" fillId="28" borderId="21" xfId="0" applyFont="1" applyFill="1" applyBorder="1" applyAlignment="1">
      <alignment horizontal="center"/>
    </xf>
    <xf numFmtId="0" fontId="15" fillId="12" borderId="21" xfId="0" applyFont="1" applyFill="1" applyBorder="1" applyAlignment="1">
      <alignment horizontal="center"/>
    </xf>
    <xf numFmtId="2" fontId="5" fillId="5" borderId="18" xfId="0" applyNumberFormat="1" applyFont="1" applyFill="1" applyBorder="1">
      <alignment vertical="center"/>
    </xf>
    <xf numFmtId="0" fontId="15" fillId="22" borderId="24" xfId="0" applyFont="1" applyFill="1" applyBorder="1" applyAlignment="1">
      <alignment horizontal="center"/>
    </xf>
    <xf numFmtId="0" fontId="15" fillId="23" borderId="24" xfId="0" applyFont="1" applyFill="1" applyBorder="1" applyAlignment="1">
      <alignment horizontal="center"/>
    </xf>
    <xf numFmtId="0" fontId="15" fillId="24" borderId="24" xfId="0" applyFont="1" applyFill="1" applyBorder="1" applyAlignment="1">
      <alignment horizontal="center"/>
    </xf>
    <xf numFmtId="49" fontId="16" fillId="0" borderId="22" xfId="0" applyNumberFormat="1" applyFont="1" applyBorder="1">
      <alignment vertical="center"/>
    </xf>
    <xf numFmtId="10" fontId="5" fillId="0" borderId="23" xfId="0" applyNumberFormat="1" applyFont="1" applyBorder="1">
      <alignment vertical="center"/>
    </xf>
    <xf numFmtId="49" fontId="16" fillId="0" borderId="9" xfId="0" applyNumberFormat="1" applyFont="1" applyBorder="1">
      <alignment vertical="center"/>
    </xf>
    <xf numFmtId="10" fontId="5" fillId="0" borderId="10" xfId="0" applyNumberFormat="1" applyFont="1" applyBorder="1">
      <alignment vertical="center"/>
    </xf>
    <xf numFmtId="49" fontId="16" fillId="0" borderId="11" xfId="0" applyNumberFormat="1" applyFont="1" applyBorder="1">
      <alignment vertical="center"/>
    </xf>
    <xf numFmtId="165" fontId="5" fillId="0" borderId="13" xfId="0" applyNumberFormat="1" applyFont="1" applyBorder="1">
      <alignment vertical="center"/>
    </xf>
    <xf numFmtId="0" fontId="5" fillId="31" borderId="22" xfId="0" applyFont="1" applyFill="1" applyBorder="1">
      <alignment vertical="center"/>
    </xf>
    <xf numFmtId="0" fontId="5" fillId="31" borderId="9" xfId="0" applyFont="1" applyFill="1" applyBorder="1">
      <alignment vertical="center"/>
    </xf>
    <xf numFmtId="0" fontId="5" fillId="31" borderId="11" xfId="0" applyFont="1" applyFill="1" applyBorder="1">
      <alignment vertical="center"/>
    </xf>
    <xf numFmtId="164" fontId="5" fillId="31" borderId="13" xfId="2" applyFont="1" applyFill="1" applyBorder="1">
      <alignment vertical="center"/>
    </xf>
    <xf numFmtId="0" fontId="2" fillId="0" borderId="0" xfId="4"/>
    <xf numFmtId="0" fontId="2" fillId="32" borderId="0" xfId="4" applyFill="1"/>
    <xf numFmtId="0" fontId="2" fillId="33" borderId="0" xfId="4" applyFill="1"/>
    <xf numFmtId="0" fontId="2" fillId="34" borderId="0" xfId="4" applyFill="1"/>
    <xf numFmtId="10" fontId="2" fillId="0" borderId="0" xfId="4" applyNumberFormat="1"/>
    <xf numFmtId="14" fontId="2" fillId="0" borderId="0" xfId="4" applyNumberFormat="1"/>
    <xf numFmtId="2" fontId="2" fillId="0" borderId="0" xfId="4" applyNumberFormat="1"/>
    <xf numFmtId="10" fontId="0" fillId="0" borderId="0" xfId="5" applyNumberFormat="1" applyFont="1"/>
    <xf numFmtId="166" fontId="18" fillId="0" borderId="0" xfId="4" applyNumberFormat="1" applyFont="1" applyAlignment="1">
      <alignment vertical="center"/>
    </xf>
    <xf numFmtId="0" fontId="2" fillId="0" borderId="0" xfId="4" applyAlignment="1">
      <alignment vertical="center"/>
    </xf>
    <xf numFmtId="0" fontId="19" fillId="0" borderId="0" xfId="4" applyFont="1" applyAlignment="1">
      <alignment vertical="center"/>
    </xf>
    <xf numFmtId="0" fontId="18" fillId="0" borderId="0" xfId="4" applyFont="1" applyAlignment="1">
      <alignment vertical="center"/>
    </xf>
    <xf numFmtId="0" fontId="2" fillId="0" borderId="22" xfId="4" applyBorder="1" applyAlignment="1">
      <alignment vertical="center"/>
    </xf>
    <xf numFmtId="0" fontId="2" fillId="0" borderId="25" xfId="4" applyBorder="1" applyAlignment="1">
      <alignment vertical="center"/>
    </xf>
    <xf numFmtId="0" fontId="2" fillId="0" borderId="9" xfId="4" applyBorder="1" applyAlignment="1">
      <alignment vertical="center"/>
    </xf>
    <xf numFmtId="0" fontId="18" fillId="0" borderId="3" xfId="4" applyFont="1" applyBorder="1" applyAlignment="1">
      <alignment horizontal="right" vertical="center"/>
    </xf>
    <xf numFmtId="166" fontId="18" fillId="0" borderId="3" xfId="4" applyNumberFormat="1" applyFont="1" applyBorder="1" applyAlignment="1">
      <alignment vertical="center"/>
    </xf>
    <xf numFmtId="0" fontId="18" fillId="35" borderId="22" xfId="4" applyFont="1" applyFill="1" applyBorder="1" applyAlignment="1">
      <alignment vertical="center"/>
    </xf>
    <xf numFmtId="0" fontId="18" fillId="35" borderId="25" xfId="4" applyFont="1" applyFill="1" applyBorder="1" applyAlignment="1">
      <alignment vertical="center"/>
    </xf>
    <xf numFmtId="166" fontId="18" fillId="35" borderId="23" xfId="4" applyNumberFormat="1" applyFont="1" applyFill="1" applyBorder="1" applyAlignment="1">
      <alignment vertical="center"/>
    </xf>
    <xf numFmtId="0" fontId="18" fillId="6" borderId="9" xfId="4" applyFont="1" applyFill="1" applyBorder="1" applyAlignment="1">
      <alignment vertical="center"/>
    </xf>
    <xf numFmtId="0" fontId="18" fillId="0" borderId="3" xfId="4" applyFont="1" applyBorder="1" applyAlignment="1">
      <alignment vertical="center"/>
    </xf>
    <xf numFmtId="167" fontId="18" fillId="36" borderId="3" xfId="4" applyNumberFormat="1" applyFont="1" applyFill="1" applyBorder="1" applyAlignment="1">
      <alignment vertical="center"/>
    </xf>
    <xf numFmtId="167" fontId="18" fillId="13" borderId="3" xfId="4" applyNumberFormat="1" applyFont="1" applyFill="1" applyBorder="1" applyAlignment="1">
      <alignment vertical="center"/>
    </xf>
    <xf numFmtId="167" fontId="2" fillId="13" borderId="3" xfId="4" applyNumberFormat="1" applyFill="1" applyBorder="1"/>
    <xf numFmtId="0" fontId="18" fillId="35" borderId="9" xfId="4" applyFont="1" applyFill="1" applyBorder="1" applyAlignment="1">
      <alignment vertical="center"/>
    </xf>
    <xf numFmtId="0" fontId="18" fillId="35" borderId="0" xfId="4" applyFont="1" applyFill="1" applyAlignment="1">
      <alignment vertical="center"/>
    </xf>
    <xf numFmtId="10" fontId="18" fillId="35" borderId="10" xfId="4" applyNumberFormat="1" applyFont="1" applyFill="1" applyBorder="1" applyAlignment="1">
      <alignment vertical="center"/>
    </xf>
    <xf numFmtId="0" fontId="18" fillId="13" borderId="9" xfId="4" applyFont="1" applyFill="1" applyBorder="1" applyAlignment="1">
      <alignment vertical="center"/>
    </xf>
    <xf numFmtId="0" fontId="18" fillId="14" borderId="11" xfId="4" applyFont="1" applyFill="1" applyBorder="1" applyAlignment="1">
      <alignment vertical="center"/>
    </xf>
    <xf numFmtId="9" fontId="18" fillId="35" borderId="10" xfId="5" applyFont="1" applyFill="1" applyBorder="1" applyAlignment="1">
      <alignment vertical="center"/>
    </xf>
    <xf numFmtId="167" fontId="2" fillId="13" borderId="3" xfId="4" applyNumberFormat="1" applyFill="1" applyBorder="1" applyAlignment="1">
      <alignment vertical="center"/>
    </xf>
    <xf numFmtId="167" fontId="2" fillId="36" borderId="3" xfId="4" applyNumberFormat="1" applyFill="1" applyBorder="1"/>
    <xf numFmtId="0" fontId="20" fillId="35" borderId="11" xfId="4" applyFont="1" applyFill="1" applyBorder="1" applyAlignment="1">
      <alignment vertical="center"/>
    </xf>
    <xf numFmtId="0" fontId="18" fillId="35" borderId="12" xfId="4" applyFont="1" applyFill="1" applyBorder="1" applyAlignment="1">
      <alignment vertical="center"/>
    </xf>
    <xf numFmtId="2" fontId="21" fillId="35" borderId="13" xfId="4" applyNumberFormat="1" applyFont="1" applyFill="1" applyBorder="1" applyAlignment="1">
      <alignment vertical="center"/>
    </xf>
    <xf numFmtId="0" fontId="22" fillId="0" borderId="15" xfId="0" applyFont="1" applyBorder="1" applyAlignment="1">
      <alignment horizontal="center"/>
    </xf>
    <xf numFmtId="0" fontId="0" fillId="0" borderId="0" xfId="0" applyAlignment="1"/>
    <xf numFmtId="0" fontId="17" fillId="0" borderId="0" xfId="4" applyFont="1"/>
    <xf numFmtId="0" fontId="5" fillId="31" borderId="10" xfId="0" applyFont="1" applyFill="1" applyBorder="1">
      <alignment vertical="center"/>
    </xf>
    <xf numFmtId="1" fontId="18" fillId="35" borderId="23" xfId="4" applyNumberFormat="1" applyFont="1" applyFill="1" applyBorder="1" applyAlignment="1">
      <alignment vertical="center"/>
    </xf>
    <xf numFmtId="49" fontId="5" fillId="31" borderId="22" xfId="0" applyNumberFormat="1" applyFont="1" applyFill="1" applyBorder="1">
      <alignment vertical="center"/>
    </xf>
    <xf numFmtId="49" fontId="5" fillId="31" borderId="9" xfId="0" applyNumberFormat="1" applyFont="1" applyFill="1" applyBorder="1">
      <alignment vertical="center"/>
    </xf>
    <xf numFmtId="49" fontId="5" fillId="31" borderId="11" xfId="0" applyNumberFormat="1" applyFont="1" applyFill="1" applyBorder="1">
      <alignment vertical="center"/>
    </xf>
    <xf numFmtId="2" fontId="5" fillId="31" borderId="23" xfId="0" applyNumberFormat="1" applyFont="1" applyFill="1" applyBorder="1">
      <alignment vertical="center"/>
    </xf>
    <xf numFmtId="1" fontId="5" fillId="31" borderId="23" xfId="0" applyNumberFormat="1" applyFont="1" applyFill="1" applyBorder="1">
      <alignment vertical="center"/>
    </xf>
    <xf numFmtId="10" fontId="5" fillId="31" borderId="10" xfId="1" applyNumberFormat="1" applyFont="1" applyFill="1" applyBorder="1">
      <alignment vertical="center"/>
    </xf>
    <xf numFmtId="2" fontId="5" fillId="31" borderId="13" xfId="0" applyNumberFormat="1" applyFont="1" applyFill="1" applyBorder="1">
      <alignment vertical="center"/>
    </xf>
    <xf numFmtId="0" fontId="15" fillId="36" borderId="17" xfId="0" applyFont="1" applyFill="1" applyBorder="1" applyAlignment="1">
      <alignment horizontal="center"/>
    </xf>
    <xf numFmtId="0" fontId="0" fillId="37" borderId="18" xfId="0" applyFill="1" applyBorder="1" applyAlignment="1"/>
    <xf numFmtId="0" fontId="5" fillId="37" borderId="18" xfId="0" applyFont="1" applyFill="1" applyBorder="1">
      <alignment vertical="center"/>
    </xf>
    <xf numFmtId="164" fontId="5" fillId="37" borderId="18" xfId="2" applyFont="1" applyFill="1" applyBorder="1">
      <alignment vertical="center"/>
    </xf>
    <xf numFmtId="10" fontId="5" fillId="37" borderId="18" xfId="1" applyNumberFormat="1" applyFont="1" applyFill="1" applyBorder="1">
      <alignment vertical="center"/>
    </xf>
    <xf numFmtId="0" fontId="7" fillId="0" borderId="2" xfId="0" applyFont="1" applyBorder="1">
      <alignment vertical="center"/>
    </xf>
    <xf numFmtId="0" fontId="5" fillId="0" borderId="27" xfId="0" applyFont="1" applyBorder="1">
      <alignment vertical="center"/>
    </xf>
    <xf numFmtId="0" fontId="5" fillId="0" borderId="39" xfId="0" applyFont="1" applyBorder="1">
      <alignment vertical="center"/>
    </xf>
    <xf numFmtId="0" fontId="5" fillId="0" borderId="7" xfId="0" applyFont="1" applyBorder="1">
      <alignment vertical="center"/>
    </xf>
    <xf numFmtId="0" fontId="5" fillId="0" borderId="14" xfId="0" applyFont="1" applyBorder="1">
      <alignment vertical="center"/>
    </xf>
    <xf numFmtId="0" fontId="5" fillId="0" borderId="9" xfId="0" applyFont="1" applyBorder="1">
      <alignment vertical="center"/>
    </xf>
    <xf numFmtId="164" fontId="5" fillId="0" borderId="9" xfId="2" applyFont="1" applyBorder="1">
      <alignment vertical="center"/>
    </xf>
    <xf numFmtId="164" fontId="5" fillId="0" borderId="11" xfId="2" applyFont="1" applyBorder="1">
      <alignment vertical="center"/>
    </xf>
    <xf numFmtId="2" fontId="5" fillId="0" borderId="9" xfId="0" applyNumberFormat="1" applyFont="1" applyBorder="1">
      <alignment vertical="center"/>
    </xf>
    <xf numFmtId="0" fontId="5" fillId="0" borderId="21" xfId="0" applyFont="1" applyBorder="1">
      <alignment vertical="center"/>
    </xf>
    <xf numFmtId="0" fontId="5" fillId="0" borderId="43" xfId="0" applyFont="1" applyBorder="1">
      <alignment vertical="center"/>
    </xf>
    <xf numFmtId="10" fontId="5" fillId="0" borderId="42" xfId="0" applyNumberFormat="1" applyFont="1" applyBorder="1">
      <alignment vertical="center"/>
    </xf>
    <xf numFmtId="0" fontId="14" fillId="0" borderId="0" xfId="0" applyFont="1">
      <alignment vertical="center"/>
    </xf>
    <xf numFmtId="0" fontId="14" fillId="0" borderId="12" xfId="0" applyFont="1" applyBorder="1">
      <alignment vertical="center"/>
    </xf>
    <xf numFmtId="0" fontId="14" fillId="2" borderId="30" xfId="0" applyFont="1" applyFill="1" applyBorder="1" applyAlignment="1">
      <alignment horizontal="center" vertical="center"/>
    </xf>
    <xf numFmtId="0" fontId="14" fillId="2" borderId="31" xfId="0" applyFont="1" applyFill="1" applyBorder="1" applyAlignment="1">
      <alignment horizontal="center" vertical="center" wrapText="1"/>
    </xf>
    <xf numFmtId="164" fontId="14" fillId="2" borderId="31" xfId="2" applyFont="1" applyFill="1" applyBorder="1" applyAlignment="1">
      <alignment horizontal="center" vertical="center" wrapText="1"/>
    </xf>
    <xf numFmtId="164" fontId="14" fillId="2" borderId="31" xfId="2" applyFont="1" applyFill="1" applyBorder="1" applyAlignment="1">
      <alignment horizontal="center" vertical="center"/>
    </xf>
    <xf numFmtId="0" fontId="14" fillId="2" borderId="31" xfId="0" applyFont="1" applyFill="1" applyBorder="1" applyAlignment="1">
      <alignment horizontal="center" vertical="center"/>
    </xf>
    <xf numFmtId="0" fontId="14" fillId="0" borderId="1" xfId="0" applyFont="1" applyBorder="1">
      <alignment vertical="center"/>
    </xf>
    <xf numFmtId="0" fontId="14" fillId="2" borderId="32" xfId="0" applyFont="1" applyFill="1" applyBorder="1" applyAlignment="1">
      <alignment horizontal="center" vertical="center" wrapText="1"/>
    </xf>
    <xf numFmtId="164" fontId="14" fillId="0" borderId="25" xfId="2" applyFont="1" applyBorder="1" applyAlignment="1">
      <alignment horizontal="center" vertical="center" wrapText="1"/>
    </xf>
    <xf numFmtId="14" fontId="14" fillId="0" borderId="33" xfId="0" applyNumberFormat="1" applyFont="1" applyBorder="1">
      <alignment vertical="center"/>
    </xf>
    <xf numFmtId="0" fontId="14" fillId="0" borderId="33" xfId="0" applyFont="1" applyBorder="1">
      <alignment vertical="center"/>
    </xf>
    <xf numFmtId="164" fontId="14" fillId="0" borderId="33" xfId="2" applyFont="1" applyBorder="1">
      <alignment vertical="center"/>
    </xf>
    <xf numFmtId="10" fontId="14" fillId="0" borderId="34" xfId="0" applyNumberFormat="1" applyFont="1" applyBorder="1">
      <alignment vertical="center"/>
    </xf>
    <xf numFmtId="0" fontId="14" fillId="0" borderId="29" xfId="0" applyFont="1" applyBorder="1">
      <alignment vertical="center"/>
    </xf>
    <xf numFmtId="0" fontId="14" fillId="2" borderId="35" xfId="0" applyFont="1" applyFill="1" applyBorder="1" applyAlignment="1">
      <alignment horizontal="center" vertical="center"/>
    </xf>
    <xf numFmtId="164" fontId="14" fillId="0" borderId="0" xfId="2" applyFont="1" applyBorder="1" applyAlignment="1">
      <alignment horizontal="center" vertical="center"/>
    </xf>
    <xf numFmtId="164" fontId="14" fillId="0" borderId="0" xfId="2" applyFont="1" applyBorder="1">
      <alignment vertical="center"/>
    </xf>
    <xf numFmtId="14" fontId="14" fillId="0" borderId="1" xfId="0" applyNumberFormat="1" applyFont="1" applyBorder="1">
      <alignment vertical="center"/>
    </xf>
    <xf numFmtId="164" fontId="14" fillId="0" borderId="1" xfId="2" applyFont="1" applyBorder="1">
      <alignment vertical="center"/>
    </xf>
    <xf numFmtId="10" fontId="14" fillId="0" borderId="36" xfId="0" applyNumberFormat="1" applyFont="1" applyBorder="1">
      <alignment vertical="center"/>
    </xf>
    <xf numFmtId="14" fontId="14" fillId="0" borderId="37" xfId="0" applyNumberFormat="1" applyFont="1" applyBorder="1">
      <alignment vertical="center"/>
    </xf>
    <xf numFmtId="164" fontId="14" fillId="0" borderId="26" xfId="2" applyFont="1" applyBorder="1">
      <alignment vertical="center"/>
    </xf>
    <xf numFmtId="0" fontId="14" fillId="0" borderId="9" xfId="0" applyFont="1" applyBorder="1">
      <alignment vertical="center"/>
    </xf>
    <xf numFmtId="0" fontId="14" fillId="0" borderId="11" xfId="0" applyFont="1" applyBorder="1">
      <alignment vertical="center"/>
    </xf>
    <xf numFmtId="43" fontId="14" fillId="0" borderId="12" xfId="0" applyNumberFormat="1" applyFont="1" applyBorder="1">
      <alignment vertical="center"/>
    </xf>
    <xf numFmtId="10" fontId="14" fillId="0" borderId="38" xfId="0" applyNumberFormat="1" applyFont="1" applyBorder="1">
      <alignment vertical="center"/>
    </xf>
    <xf numFmtId="0" fontId="14" fillId="0" borderId="39" xfId="0" applyFont="1" applyBorder="1">
      <alignment vertical="center"/>
    </xf>
    <xf numFmtId="0" fontId="14" fillId="2" borderId="37" xfId="0" applyFont="1" applyFill="1" applyBorder="1" applyAlignment="1">
      <alignment horizontal="center" vertical="center" wrapText="1"/>
    </xf>
    <xf numFmtId="164" fontId="14" fillId="0" borderId="0" xfId="2" applyFont="1" applyBorder="1" applyAlignment="1">
      <alignment horizontal="center" vertical="center" wrapText="1"/>
    </xf>
    <xf numFmtId="0" fontId="14" fillId="2" borderId="41" xfId="0" applyFont="1" applyFill="1" applyBorder="1" applyAlignment="1">
      <alignment horizontal="center" vertical="center" wrapText="1"/>
    </xf>
    <xf numFmtId="164" fontId="14" fillId="2" borderId="41" xfId="2" applyFont="1" applyFill="1" applyBorder="1" applyAlignment="1">
      <alignment horizontal="center" vertical="center" wrapText="1"/>
    </xf>
    <xf numFmtId="164" fontId="14" fillId="2" borderId="41" xfId="2" applyFont="1" applyFill="1" applyBorder="1" applyAlignment="1">
      <alignment horizontal="center" vertical="center"/>
    </xf>
    <xf numFmtId="164" fontId="14" fillId="0" borderId="28" xfId="2" applyFont="1" applyFill="1" applyBorder="1" applyAlignment="1">
      <alignment horizontal="center" vertical="center"/>
    </xf>
    <xf numFmtId="0" fontId="14" fillId="0" borderId="25" xfId="0" applyFont="1" applyBorder="1">
      <alignment vertical="center"/>
    </xf>
    <xf numFmtId="0" fontId="14" fillId="0" borderId="0" xfId="0" applyFont="1" applyAlignment="1">
      <alignment horizontal="left" vertical="center"/>
    </xf>
    <xf numFmtId="0" fontId="14" fillId="0" borderId="40" xfId="0" applyFont="1" applyBorder="1">
      <alignment vertical="center"/>
    </xf>
    <xf numFmtId="168" fontId="14" fillId="0" borderId="33" xfId="2" applyNumberFormat="1" applyFont="1" applyBorder="1">
      <alignment vertical="center"/>
    </xf>
    <xf numFmtId="168" fontId="14" fillId="0" borderId="26" xfId="2" applyNumberFormat="1" applyFont="1" applyBorder="1">
      <alignment vertical="center"/>
    </xf>
    <xf numFmtId="49" fontId="14" fillId="0" borderId="39" xfId="0" applyNumberFormat="1" applyFont="1" applyBorder="1" applyAlignment="1">
      <alignment horizontal="left" vertical="center" wrapText="1"/>
    </xf>
    <xf numFmtId="169" fontId="5" fillId="0" borderId="24" xfId="0" applyNumberFormat="1" applyFont="1" applyBorder="1">
      <alignment vertical="center"/>
    </xf>
    <xf numFmtId="0" fontId="5" fillId="2" borderId="45" xfId="0" applyFont="1" applyFill="1" applyBorder="1" applyAlignment="1">
      <alignment horizontal="center" vertical="center"/>
    </xf>
    <xf numFmtId="14" fontId="5" fillId="0" borderId="46" xfId="0" applyNumberFormat="1" applyFont="1" applyBorder="1">
      <alignment vertical="center"/>
    </xf>
    <xf numFmtId="14" fontId="5" fillId="0" borderId="47" xfId="0" applyNumberFormat="1" applyFont="1" applyBorder="1">
      <alignment vertical="center"/>
    </xf>
    <xf numFmtId="14" fontId="5" fillId="0" borderId="19" xfId="0" applyNumberFormat="1" applyFont="1" applyBorder="1">
      <alignment vertical="center"/>
    </xf>
    <xf numFmtId="43" fontId="13" fillId="7" borderId="24" xfId="6" applyFont="1" applyFill="1" applyBorder="1">
      <alignment vertical="center"/>
    </xf>
    <xf numFmtId="10" fontId="5" fillId="0" borderId="24" xfId="0" applyNumberFormat="1" applyFont="1" applyBorder="1">
      <alignment vertical="center"/>
    </xf>
    <xf numFmtId="0" fontId="0" fillId="0" borderId="9" xfId="0" applyBorder="1">
      <alignment vertical="center"/>
    </xf>
    <xf numFmtId="14" fontId="0" fillId="0" borderId="0" xfId="0" applyNumberFormat="1">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0" fillId="0" borderId="13" xfId="0" applyBorder="1">
      <alignment vertical="center"/>
    </xf>
    <xf numFmtId="0" fontId="0" fillId="38" borderId="6" xfId="0" applyFill="1" applyBorder="1">
      <alignment vertical="center"/>
    </xf>
    <xf numFmtId="0" fontId="0" fillId="0" borderId="39" xfId="0" applyBorder="1">
      <alignment vertical="center"/>
    </xf>
    <xf numFmtId="0" fontId="0" fillId="0" borderId="7" xfId="0" applyBorder="1">
      <alignment vertical="center"/>
    </xf>
    <xf numFmtId="0" fontId="0" fillId="29" borderId="6" xfId="0" applyFill="1" applyBorder="1">
      <alignment vertical="center"/>
    </xf>
    <xf numFmtId="40" fontId="5" fillId="5" borderId="48" xfId="3" applyNumberFormat="1" applyFont="1" applyFill="1" applyBorder="1">
      <alignment vertical="center"/>
    </xf>
    <xf numFmtId="168" fontId="14" fillId="0" borderId="1" xfId="2" applyNumberFormat="1" applyFont="1" applyBorder="1">
      <alignment vertical="center"/>
    </xf>
    <xf numFmtId="0" fontId="0" fillId="0" borderId="22" xfId="0" applyBorder="1" applyAlignment="1"/>
    <xf numFmtId="0" fontId="0" fillId="0" borderId="25" xfId="0" applyBorder="1" applyAlignment="1"/>
    <xf numFmtId="0" fontId="2" fillId="0" borderId="25" xfId="4" applyBorder="1"/>
    <xf numFmtId="0" fontId="2" fillId="0" borderId="23" xfId="4" applyBorder="1"/>
    <xf numFmtId="0" fontId="0" fillId="0" borderId="9" xfId="0" applyBorder="1" applyAlignment="1"/>
    <xf numFmtId="0" fontId="2" fillId="0" borderId="10" xfId="4" applyBorder="1"/>
    <xf numFmtId="0" fontId="2" fillId="0" borderId="11" xfId="4" applyBorder="1"/>
    <xf numFmtId="0" fontId="2" fillId="0" borderId="12" xfId="4" applyBorder="1"/>
    <xf numFmtId="0" fontId="2" fillId="0" borderId="13" xfId="4" applyBorder="1"/>
    <xf numFmtId="0" fontId="2" fillId="0" borderId="22" xfId="4" applyBorder="1"/>
    <xf numFmtId="0" fontId="2" fillId="0" borderId="9" xfId="4" applyBorder="1"/>
    <xf numFmtId="0" fontId="2" fillId="0" borderId="3" xfId="4" applyBorder="1"/>
    <xf numFmtId="170" fontId="2" fillId="13" borderId="3" xfId="4" applyNumberFormat="1" applyFill="1" applyBorder="1"/>
    <xf numFmtId="2" fontId="2" fillId="13" borderId="3" xfId="4" applyNumberFormat="1" applyFill="1" applyBorder="1"/>
    <xf numFmtId="2" fontId="2" fillId="36" borderId="3" xfId="4" applyNumberFormat="1" applyFill="1" applyBorder="1"/>
    <xf numFmtId="0" fontId="0" fillId="0" borderId="3" xfId="0" applyBorder="1" applyAlignment="1"/>
    <xf numFmtId="2" fontId="0" fillId="13" borderId="3" xfId="0" applyNumberFormat="1" applyFill="1" applyBorder="1" applyAlignment="1"/>
    <xf numFmtId="2" fontId="0" fillId="36" borderId="3" xfId="0" applyNumberFormat="1" applyFill="1" applyBorder="1" applyAlignment="1"/>
    <xf numFmtId="167" fontId="18" fillId="0" borderId="3" xfId="4" applyNumberFormat="1" applyFont="1" applyBorder="1" applyAlignment="1">
      <alignment vertical="center"/>
    </xf>
    <xf numFmtId="167" fontId="0" fillId="13" borderId="3" xfId="0" applyNumberFormat="1" applyFill="1" applyBorder="1" applyAlignment="1"/>
    <xf numFmtId="0" fontId="23" fillId="0" borderId="0" xfId="4" applyFont="1"/>
    <xf numFmtId="0" fontId="23" fillId="0" borderId="0" xfId="0" applyFont="1">
      <alignment vertical="center"/>
    </xf>
    <xf numFmtId="0" fontId="15" fillId="39" borderId="17" xfId="0" applyFont="1" applyFill="1" applyBorder="1" applyAlignment="1">
      <alignment horizontal="center"/>
    </xf>
    <xf numFmtId="0" fontId="0" fillId="31" borderId="18" xfId="0" applyFill="1" applyBorder="1" applyAlignment="1"/>
    <xf numFmtId="0" fontId="5" fillId="31" borderId="18" xfId="0" applyFont="1" applyFill="1" applyBorder="1">
      <alignment vertical="center"/>
    </xf>
    <xf numFmtId="164" fontId="5" fillId="31" borderId="18" xfId="2" applyFont="1" applyFill="1" applyBorder="1">
      <alignment vertical="center"/>
    </xf>
    <xf numFmtId="10" fontId="5" fillId="31" borderId="18" xfId="1" applyNumberFormat="1" applyFont="1" applyFill="1" applyBorder="1">
      <alignment vertical="center"/>
    </xf>
    <xf numFmtId="10" fontId="18" fillId="35" borderId="10" xfId="1" applyNumberFormat="1" applyFont="1" applyFill="1" applyBorder="1" applyAlignment="1">
      <alignment vertical="center"/>
    </xf>
    <xf numFmtId="10" fontId="9" fillId="2" borderId="49" xfId="0" applyNumberFormat="1" applyFont="1" applyFill="1" applyBorder="1" applyAlignment="1">
      <alignment horizontal="center" vertical="center" wrapText="1"/>
    </xf>
    <xf numFmtId="0" fontId="15" fillId="27" borderId="47" xfId="0" applyFont="1" applyFill="1" applyBorder="1" applyAlignment="1">
      <alignment horizontal="center"/>
    </xf>
    <xf numFmtId="0" fontId="15" fillId="39" borderId="47" xfId="0" applyFont="1" applyFill="1" applyBorder="1" applyAlignment="1">
      <alignment horizontal="center"/>
    </xf>
    <xf numFmtId="43" fontId="13" fillId="7" borderId="0" xfId="6" applyFont="1" applyFill="1" applyBorder="1">
      <alignment vertical="center"/>
    </xf>
    <xf numFmtId="14" fontId="14" fillId="0" borderId="1" xfId="2" applyNumberFormat="1" applyFont="1" applyFill="1" applyBorder="1">
      <alignment vertical="center"/>
    </xf>
    <xf numFmtId="2" fontId="14" fillId="0" borderId="0" xfId="0" applyNumberFormat="1" applyFont="1">
      <alignment vertical="center"/>
    </xf>
    <xf numFmtId="2" fontId="14" fillId="0" borderId="1" xfId="0" applyNumberFormat="1" applyFont="1" applyBorder="1">
      <alignment vertical="center"/>
    </xf>
    <xf numFmtId="167" fontId="14" fillId="0" borderId="1" xfId="0" applyNumberFormat="1" applyFont="1" applyBorder="1">
      <alignment vertical="center"/>
    </xf>
    <xf numFmtId="1" fontId="14" fillId="0" borderId="1" xfId="0" applyNumberFormat="1" applyFont="1" applyBorder="1">
      <alignment vertical="center"/>
    </xf>
    <xf numFmtId="167" fontId="14" fillId="0" borderId="0" xfId="0" applyNumberFormat="1" applyFont="1">
      <alignment vertical="center"/>
    </xf>
    <xf numFmtId="1" fontId="14" fillId="0" borderId="0" xfId="0" applyNumberFormat="1" applyFont="1">
      <alignment vertical="center"/>
    </xf>
    <xf numFmtId="1" fontId="14" fillId="2" borderId="31" xfId="0" applyNumberFormat="1" applyFont="1" applyFill="1" applyBorder="1" applyAlignment="1">
      <alignment horizontal="center" vertical="center" wrapText="1"/>
    </xf>
    <xf numFmtId="1" fontId="14" fillId="0" borderId="33" xfId="0" applyNumberFormat="1" applyFont="1" applyBorder="1">
      <alignment vertical="center"/>
    </xf>
    <xf numFmtId="1" fontId="14" fillId="0" borderId="12" xfId="0" applyNumberFormat="1" applyFont="1" applyBorder="1">
      <alignment vertical="center"/>
    </xf>
    <xf numFmtId="1" fontId="14" fillId="0" borderId="39" xfId="0" applyNumberFormat="1" applyFont="1" applyBorder="1">
      <alignment vertical="center"/>
    </xf>
    <xf numFmtId="1" fontId="0" fillId="0" borderId="0" xfId="0" applyNumberFormat="1">
      <alignment vertical="center"/>
    </xf>
    <xf numFmtId="0" fontId="1" fillId="0" borderId="0" xfId="4" applyFont="1"/>
    <xf numFmtId="4" fontId="14" fillId="0" borderId="1" xfId="0" applyNumberFormat="1" applyFont="1" applyBorder="1">
      <alignment vertical="center"/>
    </xf>
    <xf numFmtId="164" fontId="0" fillId="0" borderId="0" xfId="0" applyNumberFormat="1">
      <alignment vertical="center"/>
    </xf>
    <xf numFmtId="14" fontId="14" fillId="0" borderId="0" xfId="0" applyNumberFormat="1" applyFont="1">
      <alignment vertical="center"/>
    </xf>
    <xf numFmtId="164" fontId="5" fillId="0" borderId="21" xfId="0" applyNumberFormat="1" applyFont="1" applyBorder="1">
      <alignment vertical="center"/>
    </xf>
    <xf numFmtId="164" fontId="5" fillId="0" borderId="43" xfId="0" applyNumberFormat="1" applyFont="1" applyBorder="1">
      <alignment vertical="center"/>
    </xf>
    <xf numFmtId="14" fontId="0" fillId="0" borderId="12" xfId="0" applyNumberFormat="1" applyBorder="1">
      <alignment vertical="center"/>
    </xf>
    <xf numFmtId="0" fontId="5" fillId="5" borderId="18" xfId="3" applyNumberFormat="1" applyFont="1" applyFill="1" applyBorder="1">
      <alignment vertical="center"/>
    </xf>
    <xf numFmtId="164" fontId="5" fillId="0" borderId="10" xfId="0" applyNumberFormat="1" applyFont="1" applyBorder="1">
      <alignment vertical="center"/>
    </xf>
    <xf numFmtId="43" fontId="14" fillId="0" borderId="1" xfId="2" applyNumberFormat="1" applyFont="1" applyBorder="1">
      <alignment vertical="center"/>
    </xf>
    <xf numFmtId="169" fontId="5" fillId="0" borderId="0" xfId="7" applyNumberFormat="1" applyFont="1" applyBorder="1" applyAlignment="1">
      <alignment vertical="center"/>
    </xf>
    <xf numFmtId="10" fontId="5" fillId="0" borderId="50" xfId="0" applyNumberFormat="1" applyFont="1" applyBorder="1">
      <alignment vertical="center"/>
    </xf>
    <xf numFmtId="165" fontId="0" fillId="0" borderId="0" xfId="1" applyNumberFormat="1" applyFont="1">
      <alignment vertical="center"/>
    </xf>
    <xf numFmtId="10" fontId="5" fillId="0" borderId="0" xfId="1" applyNumberFormat="1" applyFont="1">
      <alignment vertical="center"/>
    </xf>
    <xf numFmtId="164" fontId="5" fillId="0" borderId="51" xfId="0" applyNumberFormat="1" applyFont="1" applyBorder="1">
      <alignment vertical="center"/>
    </xf>
    <xf numFmtId="169" fontId="5" fillId="0" borderId="0" xfId="0" applyNumberFormat="1" applyFont="1">
      <alignment vertical="center"/>
    </xf>
    <xf numFmtId="169" fontId="5" fillId="0" borderId="44" xfId="7" applyNumberFormat="1" applyFont="1" applyBorder="1" applyAlignment="1">
      <alignment vertical="center"/>
    </xf>
  </cellXfs>
  <cellStyles count="8">
    <cellStyle name="Comma" xfId="2" builtinId="3"/>
    <cellStyle name="Comma [0]" xfId="3" builtinId="6"/>
    <cellStyle name="Comma 2" xfId="6" xr:uid="{4510D438-34A4-4ED1-91FA-664AFAA3A8C1}"/>
    <cellStyle name="Currency" xfId="7" builtinId="4"/>
    <cellStyle name="Normal" xfId="0" builtinId="0"/>
    <cellStyle name="Normal 2" xfId="4" xr:uid="{80AB2E46-05AD-4AB1-8CC3-17FA10E2428E}"/>
    <cellStyle name="Percent" xfId="1" builtinId="5"/>
    <cellStyle name="Percent 2" xfId="5" xr:uid="{68F2C29B-8562-4D44-A5AE-9A3DE1B834AB}"/>
  </cellStyles>
  <dxfs count="55">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82BAC9"/>
      <color rgb="FF008A87"/>
      <color rgb="FFFFFF99"/>
      <color rgb="FFCAD65C"/>
      <color rgb="FF46BDC6"/>
      <color rgb="FF115B6F"/>
      <color rgb="FFCDF0F3"/>
      <color rgb="FF00A29E"/>
      <color rgb="FF8CCECE"/>
      <color rgb="FF00A8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E"/>
              <a:t>Portfolio Allocation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3BD-47BF-ACA9-81CF609D6CC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3BD-47BF-ACA9-81CF609D6CC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3BD-47BF-ACA9-81CF609D6CC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3BD-47BF-ACA9-81CF609D6CC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3BD-47BF-ACA9-81CF609D6CC6}"/>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3BD-47BF-ACA9-81CF609D6CC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Portfolio!$A$7:$A$12</c:f>
              <c:strCache>
                <c:ptCount val="6"/>
                <c:pt idx="0">
                  <c:v>Bonds</c:v>
                </c:pt>
                <c:pt idx="1">
                  <c:v>ETF</c:v>
                </c:pt>
                <c:pt idx="2">
                  <c:v>Stocks</c:v>
                </c:pt>
                <c:pt idx="3">
                  <c:v>Cryptocurrency</c:v>
                </c:pt>
                <c:pt idx="4">
                  <c:v>REIT</c:v>
                </c:pt>
                <c:pt idx="5">
                  <c:v>Cash ($, £, €)</c:v>
                </c:pt>
              </c:strCache>
            </c:strRef>
          </c:cat>
          <c:val>
            <c:numRef>
              <c:f>Portfolio!$B$7:$B$12</c:f>
              <c:numCache>
                <c:formatCode>0.00%</c:formatCode>
                <c:ptCount val="6"/>
                <c:pt idx="0">
                  <c:v>0.14381566652957214</c:v>
                </c:pt>
                <c:pt idx="1">
                  <c:v>0.26900994865064515</c:v>
                </c:pt>
                <c:pt idx="2">
                  <c:v>0.42456531429033723</c:v>
                </c:pt>
                <c:pt idx="3">
                  <c:v>4.2585627110649782E-2</c:v>
                </c:pt>
                <c:pt idx="4">
                  <c:v>5.0069596100697861E-2</c:v>
                </c:pt>
                <c:pt idx="5" formatCode="0.000%">
                  <c:v>6.9953847318097714E-2</c:v>
                </c:pt>
              </c:numCache>
            </c:numRef>
          </c:val>
          <c:extLst>
            <c:ext xmlns:c16="http://schemas.microsoft.com/office/drawing/2014/chart" uri="{C3380CC4-5D6E-409C-BE32-E72D297353CC}">
              <c16:uniqueId val="{00000000-18A7-4E60-9079-AA82B67C26B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E"/>
              <a:t>Asset Weight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4F-4646-AC9A-73502116AC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4F-4646-AC9A-73502116AC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4F-4646-AC9A-73502116AC9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24F-4646-AC9A-73502116AC9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24F-4646-AC9A-73502116AC9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24F-4646-AC9A-73502116AC9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24F-4646-AC9A-73502116AC9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24F-4646-AC9A-73502116AC9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24F-4646-AC9A-73502116AC9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24F-4646-AC9A-73502116AC9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24F-4646-AC9A-73502116AC9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24F-4646-AC9A-73502116AC9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24F-4646-AC9A-73502116AC9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24F-4646-AC9A-73502116AC9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24F-4646-AC9A-73502116AC9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24F-4646-AC9A-73502116AC9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24F-4646-AC9A-73502116AC9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A24F-4646-AC9A-73502116AC9A}"/>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A24F-4646-AC9A-73502116AC9A}"/>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6E11-4C96-B468-15D205B6736E}"/>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6E11-4C96-B468-15D205B6736E}"/>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6E11-4C96-B468-15D205B6736E}"/>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6E11-4C96-B468-15D205B6736E}"/>
              </c:ext>
            </c:extLst>
          </c:dPt>
          <c:cat>
            <c:strRef>
              <c:f>Portfolio!$C$7:$C$29</c:f>
              <c:strCache>
                <c:ptCount val="23"/>
                <c:pt idx="0">
                  <c:v>BNDX</c:v>
                </c:pt>
                <c:pt idx="1">
                  <c:v>GOOGL</c:v>
                </c:pt>
                <c:pt idx="2">
                  <c:v>TSLA</c:v>
                </c:pt>
                <c:pt idx="3">
                  <c:v>SBUX</c:v>
                </c:pt>
                <c:pt idx="4">
                  <c:v>NKE</c:v>
                </c:pt>
                <c:pt idx="5">
                  <c:v>BTC</c:v>
                </c:pt>
                <c:pt idx="6">
                  <c:v>XOM</c:v>
                </c:pt>
                <c:pt idx="7">
                  <c:v>SLNG</c:v>
                </c:pt>
                <c:pt idx="8">
                  <c:v>EQNR</c:v>
                </c:pt>
                <c:pt idx="9">
                  <c:v>VWO</c:v>
                </c:pt>
                <c:pt idx="10">
                  <c:v>NATO.L</c:v>
                </c:pt>
                <c:pt idx="11">
                  <c:v>ITA</c:v>
                </c:pt>
                <c:pt idx="12">
                  <c:v>VOO</c:v>
                </c:pt>
                <c:pt idx="13">
                  <c:v>BAC</c:v>
                </c:pt>
                <c:pt idx="14">
                  <c:v>V</c:v>
                </c:pt>
                <c:pt idx="15">
                  <c:v>BNP.PA</c:v>
                </c:pt>
                <c:pt idx="16">
                  <c:v>ULVR.L</c:v>
                </c:pt>
                <c:pt idx="17">
                  <c:v>DGE.L</c:v>
                </c:pt>
                <c:pt idx="18">
                  <c:v>RKT.L</c:v>
                </c:pt>
                <c:pt idx="19">
                  <c:v>RHM.DE</c:v>
                </c:pt>
                <c:pt idx="20">
                  <c:v>RR.L</c:v>
                </c:pt>
                <c:pt idx="21">
                  <c:v>PLD</c:v>
                </c:pt>
                <c:pt idx="22">
                  <c:v>VICI</c:v>
                </c:pt>
              </c:strCache>
            </c:strRef>
          </c:cat>
          <c:val>
            <c:numRef>
              <c:f>Portfolio!$D$7:$D$29</c:f>
              <c:numCache>
                <c:formatCode>0.00%</c:formatCode>
                <c:ptCount val="23"/>
                <c:pt idx="0">
                  <c:v>0.14381566652957214</c:v>
                </c:pt>
                <c:pt idx="1">
                  <c:v>2.6715383407414296E-2</c:v>
                </c:pt>
                <c:pt idx="2">
                  <c:v>2.0957497239293384E-3</c:v>
                </c:pt>
                <c:pt idx="3">
                  <c:v>3.4502547503301451E-2</c:v>
                </c:pt>
                <c:pt idx="4">
                  <c:v>3.0047435744033468E-2</c:v>
                </c:pt>
                <c:pt idx="5">
                  <c:v>4.2585627110649782E-2</c:v>
                </c:pt>
                <c:pt idx="6">
                  <c:v>4.5791833459461202E-2</c:v>
                </c:pt>
                <c:pt idx="7">
                  <c:v>2.4421219239222623E-3</c:v>
                </c:pt>
                <c:pt idx="8">
                  <c:v>1.4573747944533481E-2</c:v>
                </c:pt>
                <c:pt idx="9">
                  <c:v>3.0747186753608036E-2</c:v>
                </c:pt>
                <c:pt idx="10">
                  <c:v>2.1554878952928885E-2</c:v>
                </c:pt>
                <c:pt idx="11">
                  <c:v>2.0917732455004164E-2</c:v>
                </c:pt>
                <c:pt idx="12">
                  <c:v>0.19579015048910406</c:v>
                </c:pt>
                <c:pt idx="13">
                  <c:v>1.5209347528652901E-2</c:v>
                </c:pt>
                <c:pt idx="14">
                  <c:v>1.8955517790444226E-2</c:v>
                </c:pt>
                <c:pt idx="15">
                  <c:v>4.1834171329505031E-2</c:v>
                </c:pt>
                <c:pt idx="16">
                  <c:v>5.3760788209679155E-3</c:v>
                </c:pt>
                <c:pt idx="17">
                  <c:v>3.3016403555120886E-2</c:v>
                </c:pt>
                <c:pt idx="18">
                  <c:v>4.1936365990459697E-2</c:v>
                </c:pt>
                <c:pt idx="19">
                  <c:v>5.4176159684975043E-2</c:v>
                </c:pt>
                <c:pt idx="20">
                  <c:v>5.7892449883616068E-2</c:v>
                </c:pt>
                <c:pt idx="21">
                  <c:v>3.157615056339013E-2</c:v>
                </c:pt>
                <c:pt idx="22">
                  <c:v>1.8493445537307734E-2</c:v>
                </c:pt>
              </c:numCache>
            </c:numRef>
          </c:val>
          <c:extLst>
            <c:ext xmlns:c16="http://schemas.microsoft.com/office/drawing/2014/chart" uri="{C3380CC4-5D6E-409C-BE32-E72D297353CC}">
              <c16:uniqueId val="{00000000-FC2B-4D33-B020-9F2DBA48E5D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78880</xdr:colOff>
      <xdr:row>0</xdr:row>
      <xdr:rowOff>0</xdr:rowOff>
    </xdr:from>
    <xdr:ext cx="4484913" cy="405432"/>
    <xdr:sp macro="" textlink="">
      <xdr:nvSpPr>
        <xdr:cNvPr id="2" name="TextBox 1">
          <a:extLst>
            <a:ext uri="{FF2B5EF4-FFF2-40B4-BE49-F238E27FC236}">
              <a16:creationId xmlns:a16="http://schemas.microsoft.com/office/drawing/2014/main" id="{97961ABF-F34E-436D-93A1-039AB8CE3D39}"/>
            </a:ext>
          </a:extLst>
        </xdr:cNvPr>
        <xdr:cNvSpPr txBox="1"/>
      </xdr:nvSpPr>
      <xdr:spPr>
        <a:xfrm>
          <a:off x="6511056" y="90286"/>
          <a:ext cx="448491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2000">
            <a:solidFill>
              <a:srgbClr val="FF0000"/>
            </a:solidFill>
          </a:endParaRPr>
        </a:p>
      </xdr:txBody>
    </xdr:sp>
    <xdr:clientData/>
  </xdr:oneCellAnchor>
  <xdr:twoCellAnchor>
    <xdr:from>
      <xdr:col>5</xdr:col>
      <xdr:colOff>8392</xdr:colOff>
      <xdr:row>0</xdr:row>
      <xdr:rowOff>0</xdr:rowOff>
    </xdr:from>
    <xdr:to>
      <xdr:col>10</xdr:col>
      <xdr:colOff>14217</xdr:colOff>
      <xdr:row>12</xdr:row>
      <xdr:rowOff>242953</xdr:rowOff>
    </xdr:to>
    <xdr:graphicFrame macro="">
      <xdr:nvGraphicFramePr>
        <xdr:cNvPr id="5" name="Chart 4">
          <a:extLst>
            <a:ext uri="{FF2B5EF4-FFF2-40B4-BE49-F238E27FC236}">
              <a16:creationId xmlns:a16="http://schemas.microsoft.com/office/drawing/2014/main" id="{0E7AB9DA-15A1-2735-B708-BFE56E1C15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16963</xdr:colOff>
      <xdr:row>14</xdr:row>
      <xdr:rowOff>4954</xdr:rowOff>
    </xdr:from>
    <xdr:to>
      <xdr:col>9</xdr:col>
      <xdr:colOff>939452</xdr:colOff>
      <xdr:row>30</xdr:row>
      <xdr:rowOff>39141</xdr:rowOff>
    </xdr:to>
    <xdr:graphicFrame macro="">
      <xdr:nvGraphicFramePr>
        <xdr:cNvPr id="6" name="Chart 5">
          <a:extLst>
            <a:ext uri="{FF2B5EF4-FFF2-40B4-BE49-F238E27FC236}">
              <a16:creationId xmlns:a16="http://schemas.microsoft.com/office/drawing/2014/main" id="{74ABFFF7-8BA1-8587-440B-85E76BEA4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1</xdr:row>
      <xdr:rowOff>9525</xdr:rowOff>
    </xdr:from>
    <xdr:to>
      <xdr:col>8</xdr:col>
      <xdr:colOff>0</xdr:colOff>
      <xdr:row>32</xdr:row>
      <xdr:rowOff>0</xdr:rowOff>
    </xdr:to>
    <xdr:sp macro="" textlink="">
      <xdr:nvSpPr>
        <xdr:cNvPr id="2" name="TextBox 1">
          <a:extLst>
            <a:ext uri="{FF2B5EF4-FFF2-40B4-BE49-F238E27FC236}">
              <a16:creationId xmlns:a16="http://schemas.microsoft.com/office/drawing/2014/main" id="{CF1B2148-57BE-D16C-5548-1F493524A425}"/>
            </a:ext>
          </a:extLst>
        </xdr:cNvPr>
        <xdr:cNvSpPr txBox="1"/>
      </xdr:nvSpPr>
      <xdr:spPr>
        <a:xfrm>
          <a:off x="9525" y="209550"/>
          <a:ext cx="5476875" cy="6191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E" sz="800">
              <a:solidFill>
                <a:schemeClr val="dk1"/>
              </a:solidFill>
              <a:effectLst/>
              <a:latin typeface="+mn-lt"/>
              <a:ea typeface="+mn-ea"/>
              <a:cs typeface="+mn-cs"/>
            </a:rPr>
            <a:t>For my initial portfolio my main target was to diversify assets and minimalise any correlation that exists. I started off by choosing 32 assets from varying sectors and industries and took their stock price on a quarterly basis for 5 years starting from 19</a:t>
          </a:r>
          <a:r>
            <a:rPr lang="en-IE" sz="800" baseline="30000">
              <a:solidFill>
                <a:schemeClr val="dk1"/>
              </a:solidFill>
              <a:effectLst/>
              <a:latin typeface="+mn-lt"/>
              <a:ea typeface="+mn-ea"/>
              <a:cs typeface="+mn-cs"/>
            </a:rPr>
            <a:t>th</a:t>
          </a:r>
          <a:r>
            <a:rPr lang="en-IE" sz="800">
              <a:solidFill>
                <a:schemeClr val="dk1"/>
              </a:solidFill>
              <a:effectLst/>
              <a:latin typeface="+mn-lt"/>
              <a:ea typeface="+mn-ea"/>
              <a:cs typeface="+mn-cs"/>
            </a:rPr>
            <a:t> May 2025, as I feel like this is more appropriate to meet a balance between the overall portfolio which is due in 2 months and a portfolio used for long term gains. Through more research I began to remove certain assets that had high correlation with multiple other assets and also those that I did not see as a worthwhile risk.</a:t>
          </a:r>
        </a:p>
        <a:p>
          <a:r>
            <a:rPr lang="en-IE" sz="800">
              <a:solidFill>
                <a:schemeClr val="dk1"/>
              </a:solidFill>
              <a:effectLst/>
              <a:latin typeface="+mn-lt"/>
              <a:ea typeface="+mn-ea"/>
              <a:cs typeface="+mn-cs"/>
            </a:rPr>
            <a:t>A few issues I ran into were adapting the data to include companies that were less than 5 years old, and that I had to adjust the risk-free rate in order to find the proper Sharpe Ratio.</a:t>
          </a:r>
        </a:p>
        <a:p>
          <a:r>
            <a:rPr lang="en-IE" sz="800">
              <a:solidFill>
                <a:schemeClr val="dk1"/>
              </a:solidFill>
              <a:effectLst/>
              <a:latin typeface="+mn-lt"/>
              <a:ea typeface="+mn-ea"/>
              <a:cs typeface="+mn-cs"/>
            </a:rPr>
            <a:t>These are the asset classes and their respective portfolio weight -</a:t>
          </a:r>
        </a:p>
        <a:p>
          <a:r>
            <a:rPr lang="en-IE" sz="800">
              <a:solidFill>
                <a:schemeClr val="dk1"/>
              </a:solidFill>
              <a:effectLst/>
              <a:latin typeface="+mn-lt"/>
              <a:ea typeface="+mn-ea"/>
              <a:cs typeface="+mn-cs"/>
            </a:rPr>
            <a:t>Bonds	15% ( BNDX was included to reduce volatility and have a “stable” growth.</a:t>
          </a:r>
        </a:p>
        <a:p>
          <a:r>
            <a:rPr lang="en-IE" sz="800">
              <a:solidFill>
                <a:schemeClr val="dk1"/>
              </a:solidFill>
              <a:effectLst/>
              <a:latin typeface="+mn-lt"/>
              <a:ea typeface="+mn-ea"/>
              <a:cs typeface="+mn-cs"/>
            </a:rPr>
            <a:t>ETF 25% (VOO is the largest holding for this asset class as it allows direct access to the 500 largest companies in the US – which is heavily weighted by companies within the Technology sector)</a:t>
          </a:r>
        </a:p>
        <a:p>
          <a:r>
            <a:rPr lang="en-IE" sz="800">
              <a:solidFill>
                <a:schemeClr val="dk1"/>
              </a:solidFill>
              <a:effectLst/>
              <a:latin typeface="+mn-lt"/>
              <a:ea typeface="+mn-ea"/>
              <a:cs typeface="+mn-cs"/>
            </a:rPr>
            <a:t>Stocks	 30% (This asset class includes a variety of different assets from different sectors, I decided to not include any stocks from companies whose primary sector is Technology as I feel that the inclusion of VOO already gives enough exposure to this uncertain market. I also decided against including the likes of JNJ and PFE due to the current uncertainty with the U.S.’s policies over the Healthcare industry.)</a:t>
          </a:r>
        </a:p>
        <a:p>
          <a:r>
            <a:rPr lang="en-IE" sz="800">
              <a:solidFill>
                <a:schemeClr val="dk1"/>
              </a:solidFill>
              <a:effectLst/>
              <a:latin typeface="+mn-lt"/>
              <a:ea typeface="+mn-ea"/>
              <a:cs typeface="+mn-cs"/>
            </a:rPr>
            <a:t>Cryptocurrency 6% ( Although I avoided some risks within the market at the moment, and that BTC does have an extremely high volatility, I did decide to allocate a small percentage of my portfolio to cryptocurrency – BTC in particular – as a high-risk high-reward asset)</a:t>
          </a:r>
        </a:p>
        <a:p>
          <a:r>
            <a:rPr lang="en-IE" sz="800">
              <a:solidFill>
                <a:schemeClr val="dk1"/>
              </a:solidFill>
              <a:effectLst/>
              <a:latin typeface="+mn-lt"/>
              <a:ea typeface="+mn-ea"/>
              <a:cs typeface="+mn-cs"/>
            </a:rPr>
            <a:t>REIT 10% ( similarly to BNDX, REITs can protect the portfolio against inflation but there is an extra amount of risk involved as REITs can be more volatile, and changes can happen very quickly)</a:t>
          </a:r>
        </a:p>
        <a:p>
          <a:r>
            <a:rPr lang="en-IE" sz="800">
              <a:solidFill>
                <a:schemeClr val="dk1"/>
              </a:solidFill>
              <a:effectLst/>
              <a:latin typeface="+mn-lt"/>
              <a:ea typeface="+mn-ea"/>
              <a:cs typeface="+mn-cs"/>
            </a:rPr>
            <a:t>Cash ($, £, €) 14% (In case of any sudden future opportunities and to maintain a liquid asset. Small exposure to the EUR and GBP as some assets within the portfolio are traded in these currencies and relatively low risk)</a:t>
          </a:r>
        </a:p>
        <a:p>
          <a:r>
            <a:rPr lang="en-IE" sz="800">
              <a:solidFill>
                <a:schemeClr val="dk1"/>
              </a:solidFill>
              <a:effectLst/>
              <a:latin typeface="+mn-lt"/>
              <a:ea typeface="+mn-ea"/>
              <a:cs typeface="+mn-cs"/>
            </a:rPr>
            <a:t>I’m not fully sure about the allocations at the moment, Sharpe Ratio of 0.61 indicates that a lot of improvement can be made. When I’ve used the solve function in Excel I’ve noticed that it tends to heavily weigh a portfolio on 1-2 assets so I’ve had to experiment a lot with the function and try to give sensible allocations to specific assets.</a:t>
          </a:r>
        </a:p>
        <a:p>
          <a:r>
            <a:rPr lang="en-IE" sz="800" b="0" i="0">
              <a:solidFill>
                <a:schemeClr val="dk1"/>
              </a:solidFill>
              <a:effectLst/>
              <a:latin typeface="+mn-lt"/>
              <a:ea typeface="+mn-ea"/>
              <a:cs typeface="+mn-cs"/>
            </a:rPr>
            <a:t>I selected my initial shortlist of assets by a mix of random and personal choices, and with the aim of having exposure to a large amount of sectors.</a:t>
          </a:r>
        </a:p>
        <a:p>
          <a:r>
            <a:rPr lang="en-IE" sz="800" b="0" i="0">
              <a:solidFill>
                <a:schemeClr val="dk1"/>
              </a:solidFill>
              <a:effectLst/>
              <a:latin typeface="+mn-lt"/>
              <a:ea typeface="+mn-ea"/>
              <a:cs typeface="+mn-cs"/>
            </a:rPr>
            <a:t>To narrow down this shortlist of assets I then made a correlation matrix and removed assets that were highly correlated with others (for example, I found that companies such as Amazon and Nvidia has very high correlation with other assets). I also tried to ensure that certain sectors were not too heavily weighted in the portfolio (hence I avoided using securities within the Technology sector as VOO is already heavily dominated by the technology sector and gives me sufficient exposure - I calculated that my portfolio is still ~22% weighted by technology sector securities right now).</a:t>
          </a:r>
        </a:p>
        <a:p>
          <a:r>
            <a:rPr lang="en-IE" sz="800" b="0" i="0">
              <a:solidFill>
                <a:schemeClr val="dk1"/>
              </a:solidFill>
              <a:effectLst/>
              <a:latin typeface="+mn-lt"/>
              <a:ea typeface="+mn-ea"/>
              <a:cs typeface="+mn-cs"/>
            </a:rPr>
            <a:t>I also decided that it may be best not to include some stocks as there was simply not enough information about them, or they are present in sectors that are currently going through a lot of change within the U.S. I also included some assets like BTC to ensure that I at least have a small exposure to the cryptocurrency market if it were to gain more traction (possibly if the U.S. were to implement more open usage of it - unlikely but at this moment it seems like anything could be possible due to the heightened unpredictability of the market).</a:t>
          </a:r>
        </a:p>
        <a:p>
          <a:r>
            <a:rPr lang="en-IE" sz="800" b="0" i="0">
              <a:solidFill>
                <a:schemeClr val="dk1"/>
              </a:solidFill>
              <a:effectLst/>
              <a:latin typeface="+mn-lt"/>
              <a:ea typeface="+mn-ea"/>
              <a:cs typeface="+mn-cs"/>
            </a:rPr>
            <a:t>Regarding my risk and reward objectives, my realistic goal would be for annualised returns of ~8%, and maintaining standard deviation of below 10%. In my roughwork and calculation for the Variance-Covariance Matrix I used Quarterly data and not annual. </a:t>
          </a:r>
          <a:br>
            <a:rPr lang="en-IE" sz="800" b="0" i="0">
              <a:solidFill>
                <a:schemeClr val="dk1"/>
              </a:solidFill>
              <a:effectLst/>
              <a:latin typeface="+mn-lt"/>
              <a:ea typeface="+mn-ea"/>
              <a:cs typeface="+mn-cs"/>
            </a:rPr>
          </a:br>
          <a:r>
            <a:rPr lang="en-IE" sz="800" b="0" i="0">
              <a:solidFill>
                <a:schemeClr val="dk1"/>
              </a:solidFill>
              <a:effectLst/>
              <a:latin typeface="+mn-lt"/>
              <a:ea typeface="+mn-ea"/>
              <a:cs typeface="+mn-cs"/>
            </a:rPr>
            <a:t>From my understanding the Sharpe ratio will change by quite a bit if I were to change this data into Annual data. From using solver I noticed that it would give very unrealistic allocations to high volatility stocks that I personally wouldn't be willing to risk so much on (e.g. TSLA, NVDA), so I had to adjust parts of the Solver function and set realistic limits as to how much I would put into each Asset class and sector.</a:t>
          </a:r>
        </a:p>
        <a:p>
          <a:r>
            <a:rPr lang="en-IE" sz="800" b="0" i="0">
              <a:solidFill>
                <a:schemeClr val="dk1"/>
              </a:solidFill>
              <a:effectLst/>
              <a:latin typeface="+mn-lt"/>
              <a:ea typeface="+mn-ea"/>
              <a:cs typeface="+mn-cs"/>
            </a:rPr>
            <a:t>My current Sharpe ratio based on Quarterly calculations is 0.61, but now I have tested it using Annual and have received a Sharpe ratio of 1.34, Expected Return of 17.81% and a Standard Deviation of 12.58%. From this I gather that I am exceeding my initial objectives for SR and ER but not SD.</a:t>
          </a:r>
          <a:br>
            <a:rPr lang="en-IE" sz="800" b="0" i="0">
              <a:solidFill>
                <a:schemeClr val="dk1"/>
              </a:solidFill>
              <a:effectLst/>
              <a:latin typeface="+mn-lt"/>
              <a:ea typeface="+mn-ea"/>
              <a:cs typeface="+mn-cs"/>
            </a:rPr>
          </a:br>
          <a:r>
            <a:rPr lang="en-IE" sz="800" b="0" i="0">
              <a:solidFill>
                <a:schemeClr val="dk1"/>
              </a:solidFill>
              <a:effectLst/>
              <a:latin typeface="+mn-lt"/>
              <a:ea typeface="+mn-ea"/>
              <a:cs typeface="+mn-cs"/>
            </a:rPr>
            <a:t>From revising over my portfolio it may be that BTC is too heavily weighted and I may need to lower the portfolio weight of it.</a:t>
          </a:r>
        </a:p>
        <a:p>
          <a:endParaRPr lang="en-IE" sz="800">
            <a:solidFill>
              <a:schemeClr val="dk1"/>
            </a:solidFill>
            <a:effectLst/>
            <a:latin typeface="+mn-lt"/>
            <a:ea typeface="+mn-ea"/>
            <a:cs typeface="+mn-cs"/>
          </a:endParaRPr>
        </a:p>
        <a:p>
          <a:endParaRPr lang="en-IE" sz="1100"/>
        </a:p>
      </xdr:txBody>
    </xdr:sp>
    <xdr:clientData/>
  </xdr:twoCellAnchor>
  <xdr:twoCellAnchor>
    <xdr:from>
      <xdr:col>9</xdr:col>
      <xdr:colOff>0</xdr:colOff>
      <xdr:row>0</xdr:row>
      <xdr:rowOff>187242</xdr:rowOff>
    </xdr:from>
    <xdr:to>
      <xdr:col>16</xdr:col>
      <xdr:colOff>676275</xdr:colOff>
      <xdr:row>45</xdr:row>
      <xdr:rowOff>16281</xdr:rowOff>
    </xdr:to>
    <xdr:sp macro="" textlink="">
      <xdr:nvSpPr>
        <xdr:cNvPr id="3" name="TextBox 2">
          <a:extLst>
            <a:ext uri="{FF2B5EF4-FFF2-40B4-BE49-F238E27FC236}">
              <a16:creationId xmlns:a16="http://schemas.microsoft.com/office/drawing/2014/main" id="{F2F47889-0093-BD59-5880-9DA4B78151B1}"/>
            </a:ext>
          </a:extLst>
        </xdr:cNvPr>
        <xdr:cNvSpPr txBox="1"/>
      </xdr:nvSpPr>
      <xdr:spPr>
        <a:xfrm>
          <a:off x="6154615" y="187242"/>
          <a:ext cx="5463198" cy="89714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E" sz="800">
              <a:solidFill>
                <a:schemeClr val="dk1"/>
              </a:solidFill>
              <a:effectLst/>
              <a:latin typeface="+mn-lt"/>
              <a:ea typeface="+mn-ea"/>
              <a:cs typeface="+mn-cs"/>
            </a:rPr>
            <a:t>*My initial</a:t>
          </a:r>
          <a:r>
            <a:rPr lang="en-IE" sz="800" baseline="0">
              <a:solidFill>
                <a:schemeClr val="dk1"/>
              </a:solidFill>
              <a:effectLst/>
              <a:latin typeface="+mn-lt"/>
              <a:ea typeface="+mn-ea"/>
              <a:cs typeface="+mn-cs"/>
            </a:rPr>
            <a:t> portfolio was based on Monday closing prices, Monday the 26th of May was memorial day so markets were closed. Therefore, I used the closing price of Tuesday the 27th of May.</a:t>
          </a:r>
          <a:endParaRPr lang="en-IE" sz="800">
            <a:effectLst/>
          </a:endParaRPr>
        </a:p>
        <a:p>
          <a:r>
            <a:rPr lang="en-IE" sz="800" baseline="0">
              <a:solidFill>
                <a:schemeClr val="dk1"/>
              </a:solidFill>
              <a:effectLst/>
              <a:latin typeface="+mn-lt"/>
              <a:ea typeface="+mn-ea"/>
              <a:cs typeface="+mn-cs"/>
            </a:rPr>
            <a:t>- Portfolio Value - </a:t>
          </a:r>
          <a:r>
            <a:rPr lang="en-IE" sz="800" b="0" i="0">
              <a:solidFill>
                <a:schemeClr val="dk1"/>
              </a:solidFill>
              <a:effectLst/>
              <a:latin typeface="+mn-lt"/>
              <a:ea typeface="+mn-ea"/>
              <a:cs typeface="+mn-cs"/>
            </a:rPr>
            <a:t>$101,009.45 (+</a:t>
          </a:r>
          <a:r>
            <a:rPr lang="en-IE" sz="800" b="0" i="0" u="none" strike="noStrike">
              <a:solidFill>
                <a:schemeClr val="dk1"/>
              </a:solidFill>
              <a:effectLst/>
              <a:latin typeface="+mn-lt"/>
              <a:ea typeface="+mn-ea"/>
              <a:cs typeface="+mn-cs"/>
            </a:rPr>
            <a:t>1.01% gain)</a:t>
          </a:r>
          <a:endParaRPr lang="en-IE" sz="800">
            <a:effectLst/>
          </a:endParaRPr>
        </a:p>
        <a:p>
          <a:r>
            <a:rPr lang="en-IE" sz="800">
              <a:solidFill>
                <a:schemeClr val="dk1"/>
              </a:solidFill>
              <a:effectLst/>
              <a:latin typeface="+mn-lt"/>
              <a:ea typeface="+mn-ea"/>
              <a:cs typeface="+mn-cs"/>
            </a:rPr>
            <a:t>- Top Performer (%) -</a:t>
          </a:r>
          <a:r>
            <a:rPr lang="en-IE" sz="800" baseline="0">
              <a:solidFill>
                <a:schemeClr val="dk1"/>
              </a:solidFill>
              <a:effectLst/>
              <a:latin typeface="+mn-lt"/>
              <a:ea typeface="+mn-ea"/>
              <a:cs typeface="+mn-cs"/>
            </a:rPr>
            <a:t> RHM.DE - </a:t>
          </a:r>
          <a:r>
            <a:rPr lang="en-IE" sz="800" b="0" i="0" u="none" strike="noStrike">
              <a:solidFill>
                <a:schemeClr val="dk1"/>
              </a:solidFill>
              <a:effectLst/>
              <a:latin typeface="+mn-lt"/>
              <a:ea typeface="+mn-ea"/>
              <a:cs typeface="+mn-cs"/>
            </a:rPr>
            <a:t>Rheinmetal AG</a:t>
          </a:r>
          <a:r>
            <a:rPr lang="en-IE" sz="800"/>
            <a:t> (+9.58% gain)</a:t>
          </a:r>
        </a:p>
        <a:p>
          <a:r>
            <a:rPr lang="en-IE" sz="800">
              <a:effectLst/>
            </a:rPr>
            <a:t>                               ($) - RHM.DE - Rheinmetal</a:t>
          </a:r>
          <a:r>
            <a:rPr lang="en-IE" sz="800" baseline="0">
              <a:effectLst/>
            </a:rPr>
            <a:t> AG (+</a:t>
          </a:r>
          <a:r>
            <a:rPr lang="en-IE" sz="800" b="0" i="0" u="none" strike="noStrike" baseline="0">
              <a:solidFill>
                <a:schemeClr val="dk1"/>
              </a:solidFill>
              <a:effectLst/>
              <a:latin typeface="+mn-lt"/>
              <a:ea typeface="+mn-ea"/>
              <a:cs typeface="+mn-cs"/>
            </a:rPr>
            <a:t>$</a:t>
          </a:r>
          <a:r>
            <a:rPr lang="en-IE" sz="800" b="0" i="0" u="none" strike="noStrike">
              <a:solidFill>
                <a:schemeClr val="dk1"/>
              </a:solidFill>
              <a:effectLst/>
              <a:latin typeface="+mn-lt"/>
              <a:ea typeface="+mn-ea"/>
              <a:cs typeface="+mn-cs"/>
            </a:rPr>
            <a:t>564.27 gain)</a:t>
          </a:r>
          <a:endParaRPr lang="en-IE" sz="800">
            <a:effectLst/>
          </a:endParaRPr>
        </a:p>
        <a:p>
          <a:r>
            <a:rPr lang="en-IE" sz="800">
              <a:solidFill>
                <a:schemeClr val="dk1"/>
              </a:solidFill>
              <a:effectLst/>
              <a:latin typeface="+mn-lt"/>
              <a:ea typeface="+mn-ea"/>
              <a:cs typeface="+mn-cs"/>
            </a:rPr>
            <a:t>- Worst</a:t>
          </a:r>
          <a:r>
            <a:rPr lang="en-IE" sz="800" baseline="0">
              <a:solidFill>
                <a:schemeClr val="dk1"/>
              </a:solidFill>
              <a:effectLst/>
              <a:latin typeface="+mn-lt"/>
              <a:ea typeface="+mn-ea"/>
              <a:cs typeface="+mn-cs"/>
            </a:rPr>
            <a:t> Performer (%) - PLD - Prologis (</a:t>
          </a:r>
          <a:r>
            <a:rPr lang="en-IE" sz="800" b="0" i="0" u="none" strike="noStrike">
              <a:solidFill>
                <a:schemeClr val="dk1"/>
              </a:solidFill>
              <a:effectLst/>
              <a:latin typeface="+mn-lt"/>
              <a:ea typeface="+mn-ea"/>
              <a:cs typeface="+mn-cs"/>
            </a:rPr>
            <a:t>-3.64%</a:t>
          </a:r>
          <a:r>
            <a:rPr lang="en-IE" sz="800"/>
            <a:t> loss)</a:t>
          </a:r>
          <a:endParaRPr lang="en-IE" sz="800">
            <a:effectLst/>
          </a:endParaRPr>
        </a:p>
        <a:p>
          <a:r>
            <a:rPr lang="en-IE" sz="800"/>
            <a:t>                                   ($) - PLD - Prologis (-</a:t>
          </a:r>
          <a:r>
            <a:rPr lang="en-IE" sz="800" b="0" i="0" u="none" strike="noStrike">
              <a:solidFill>
                <a:schemeClr val="dk1"/>
              </a:solidFill>
              <a:effectLst/>
              <a:latin typeface="+mn-lt"/>
              <a:ea typeface="+mn-ea"/>
              <a:cs typeface="+mn-cs"/>
            </a:rPr>
            <a:t>$290.16 loss)</a:t>
          </a:r>
          <a:r>
            <a:rPr lang="en-IE" sz="800"/>
            <a:t> </a:t>
          </a:r>
          <a:r>
            <a:rPr lang="en-IE" sz="800" b="0" i="0" u="none" strike="noStrike">
              <a:solidFill>
                <a:schemeClr val="dk1"/>
              </a:solidFill>
              <a:effectLst/>
              <a:latin typeface="+mn-lt"/>
              <a:ea typeface="+mn-ea"/>
              <a:cs typeface="+mn-cs"/>
            </a:rPr>
            <a:t>  </a:t>
          </a:r>
        </a:p>
        <a:p>
          <a:endParaRPr lang="en-IE" sz="800"/>
        </a:p>
        <a:p>
          <a:r>
            <a:rPr lang="en-IE" sz="800"/>
            <a:t>I've</a:t>
          </a:r>
          <a:r>
            <a:rPr lang="en-IE" sz="800" baseline="0"/>
            <a:t> noticed that both Sharpe ratios (Annual and Quarterly) have increased by 0.02, meaning my portfolio has improved itself. Action still needs to be taken regarding the reduction of the standard deviation, so as I briefly mentioned  at the end of the initial portfolio review, I will need to lower the weight of BTC. I will also increase investment into the BNDX bond.</a:t>
          </a:r>
        </a:p>
        <a:p>
          <a:r>
            <a:rPr lang="en-IE" sz="800" baseline="0"/>
            <a:t>The following are the new sharpe ratios after the sale of 0.01 BTC and purchase of 15 BNDX. We see here that sd has been decreased, but sharpe ratio has went down by 0.01 in the quarterly data and up by 0.01 in the annual data.</a:t>
          </a:r>
        </a:p>
        <a:p>
          <a:endParaRPr lang="en-IE" sz="800" baseline="0"/>
        </a:p>
        <a:p>
          <a:r>
            <a:rPr lang="en-IE" sz="800" b="0" i="0">
              <a:solidFill>
                <a:schemeClr val="dk1"/>
              </a:solidFill>
              <a:effectLst/>
              <a:latin typeface="+mn-lt"/>
              <a:ea typeface="+mn-ea"/>
              <a:cs typeface="+mn-cs"/>
            </a:rPr>
            <a:t>Using</a:t>
          </a:r>
          <a:r>
            <a:rPr lang="en-IE" sz="800" b="0" i="0" baseline="0">
              <a:solidFill>
                <a:schemeClr val="dk1"/>
              </a:solidFill>
              <a:effectLst/>
              <a:latin typeface="+mn-lt"/>
              <a:ea typeface="+mn-ea"/>
              <a:cs typeface="+mn-cs"/>
            </a:rPr>
            <a:t> quarterly data:</a:t>
          </a:r>
          <a:endParaRPr lang="en-IE" sz="800" b="0" i="0">
            <a:solidFill>
              <a:schemeClr val="dk1"/>
            </a:solidFill>
            <a:effectLst/>
            <a:latin typeface="+mn-lt"/>
            <a:ea typeface="+mn-ea"/>
            <a:cs typeface="+mn-cs"/>
          </a:endParaRPr>
        </a:p>
        <a:p>
          <a:r>
            <a:rPr lang="en-IE" sz="800" b="0" i="0">
              <a:solidFill>
                <a:schemeClr val="dk1"/>
              </a:solidFill>
              <a:effectLst/>
              <a:latin typeface="+mn-lt"/>
              <a:ea typeface="+mn-ea"/>
              <a:cs typeface="+mn-cs"/>
            </a:rPr>
            <a:t>Sum of weight</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 </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 </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1</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Portfolio Expected return</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 </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4.02%</a:t>
          </a:r>
          <a:r>
            <a:rPr lang="en-IE" sz="800">
              <a:solidFill>
                <a:schemeClr val="dk1"/>
              </a:solidFill>
              <a:effectLst/>
              <a:latin typeface="+mn-lt"/>
              <a:ea typeface="+mn-ea"/>
              <a:cs typeface="+mn-cs"/>
            </a:rPr>
            <a:t> </a:t>
          </a:r>
        </a:p>
        <a:p>
          <a:r>
            <a:rPr lang="en-IE" sz="800" b="0" i="0">
              <a:solidFill>
                <a:schemeClr val="dk1"/>
              </a:solidFill>
              <a:effectLst/>
              <a:latin typeface="+mn-lt"/>
              <a:ea typeface="+mn-ea"/>
              <a:cs typeface="+mn-cs"/>
            </a:rPr>
            <a:t>Portfolio Standard Deviation</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 </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4.69%</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 </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 </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 </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 </a:t>
          </a:r>
          <a:r>
            <a:rPr lang="en-IE" sz="800">
              <a:solidFill>
                <a:schemeClr val="dk1"/>
              </a:solidFill>
              <a:effectLst/>
              <a:latin typeface="+mn-lt"/>
              <a:ea typeface="+mn-ea"/>
              <a:cs typeface="+mn-cs"/>
            </a:rPr>
            <a:t> </a:t>
          </a:r>
          <a:r>
            <a:rPr lang="en-IE" sz="800" b="1" i="0">
              <a:solidFill>
                <a:schemeClr val="dk1"/>
              </a:solidFill>
              <a:effectLst/>
              <a:latin typeface="+mn-lt"/>
              <a:ea typeface="+mn-ea"/>
              <a:cs typeface="+mn-cs"/>
            </a:rPr>
            <a:t>Expected Sharp ratio</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 </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0.63</a:t>
          </a:r>
          <a:r>
            <a:rPr lang="en-IE" sz="800">
              <a:solidFill>
                <a:schemeClr val="dk1"/>
              </a:solidFill>
              <a:effectLst/>
              <a:latin typeface="+mn-lt"/>
              <a:ea typeface="+mn-ea"/>
              <a:cs typeface="+mn-cs"/>
            </a:rPr>
            <a:t> </a:t>
          </a:r>
        </a:p>
        <a:p>
          <a:endParaRPr lang="en-IE" sz="800">
            <a:solidFill>
              <a:schemeClr val="dk1"/>
            </a:solidFill>
            <a:effectLst/>
            <a:latin typeface="+mn-lt"/>
            <a:ea typeface="+mn-ea"/>
            <a:cs typeface="+mn-cs"/>
          </a:endParaRPr>
        </a:p>
        <a:p>
          <a:r>
            <a:rPr lang="en-IE" sz="800">
              <a:solidFill>
                <a:schemeClr val="dk1"/>
              </a:solidFill>
              <a:effectLst/>
              <a:latin typeface="+mn-lt"/>
              <a:ea typeface="+mn-ea"/>
              <a:cs typeface="+mn-cs"/>
            </a:rPr>
            <a:t>Using annual data:</a:t>
          </a:r>
          <a:endParaRPr lang="en-IE" sz="800">
            <a:effectLst/>
          </a:endParaRPr>
        </a:p>
        <a:p>
          <a:r>
            <a:rPr lang="en-IE" sz="800" b="0" i="0">
              <a:solidFill>
                <a:schemeClr val="dk1"/>
              </a:solidFill>
              <a:effectLst/>
              <a:latin typeface="+mn-lt"/>
              <a:ea typeface="+mn-ea"/>
              <a:cs typeface="+mn-cs"/>
            </a:rPr>
            <a:t>Sum of weight</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 </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0.96247</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Portfolio Expected return</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18.04%</a:t>
          </a:r>
          <a:r>
            <a:rPr lang="en-IE" sz="800">
              <a:solidFill>
                <a:schemeClr val="dk1"/>
              </a:solidFill>
              <a:effectLst/>
              <a:latin typeface="+mn-lt"/>
              <a:ea typeface="+mn-ea"/>
              <a:cs typeface="+mn-cs"/>
            </a:rPr>
            <a:t> </a:t>
          </a:r>
        </a:p>
        <a:p>
          <a:r>
            <a:rPr lang="en-IE" sz="800" b="0" i="0">
              <a:solidFill>
                <a:schemeClr val="dk1"/>
              </a:solidFill>
              <a:effectLst/>
              <a:latin typeface="+mn-lt"/>
              <a:ea typeface="+mn-ea"/>
              <a:cs typeface="+mn-cs"/>
            </a:rPr>
            <a:t>Portfolio Standard Deviation</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12.35%</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 </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 </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 </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 </a:t>
          </a:r>
          <a:r>
            <a:rPr lang="en-IE" sz="800">
              <a:solidFill>
                <a:schemeClr val="dk1"/>
              </a:solidFill>
              <a:effectLst/>
              <a:latin typeface="+mn-lt"/>
              <a:ea typeface="+mn-ea"/>
              <a:cs typeface="+mn-cs"/>
            </a:rPr>
            <a:t> </a:t>
          </a:r>
          <a:r>
            <a:rPr lang="en-IE" sz="800" b="1" i="0">
              <a:solidFill>
                <a:schemeClr val="dk1"/>
              </a:solidFill>
              <a:effectLst/>
              <a:latin typeface="+mn-lt"/>
              <a:ea typeface="+mn-ea"/>
              <a:cs typeface="+mn-cs"/>
            </a:rPr>
            <a:t>Expected Sharp ratio</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 </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1.37</a:t>
          </a:r>
          <a:r>
            <a:rPr lang="en-IE" sz="800">
              <a:solidFill>
                <a:schemeClr val="dk1"/>
              </a:solidFill>
              <a:effectLst/>
              <a:latin typeface="+mn-lt"/>
              <a:ea typeface="+mn-ea"/>
              <a:cs typeface="+mn-cs"/>
            </a:rPr>
            <a:t> </a:t>
          </a:r>
          <a:endParaRPr lang="en-IE" sz="800">
            <a:effectLst/>
          </a:endParaRPr>
        </a:p>
        <a:p>
          <a:endParaRPr lang="en-IE" sz="800" baseline="0"/>
        </a:p>
        <a:p>
          <a:r>
            <a:rPr lang="en-IE" sz="800" baseline="0"/>
            <a:t>During the week ahead I will monitor the European market (Financials has caught my eye - BNP.PA, SAN.MC, PKO.WA, HSBA.L, EUFN especially) closely as I see a possibility of further growth here as trade tensions with the US seem to grow further, and the EU look to strengthen their own defence more. So far, I have the Industrials sector of Europe represented, so I should take a look at more sectors within the European market to include to ensure appropriate diversification. </a:t>
          </a:r>
        </a:p>
        <a:p>
          <a:r>
            <a:rPr lang="en-IE" sz="800" baseline="0"/>
            <a:t>Although TSLA is notoriously volatile I trusted my insightful thoughts in including this asset in my portfolio. Elon Musk stepping down from his role in the US government and "giving more of his time to the growth of Tesla" has predictably increased investor interest.</a:t>
          </a:r>
        </a:p>
        <a:p>
          <a:r>
            <a:rPr lang="en-IE" sz="800" baseline="0"/>
            <a:t>Financial Services and REITs are my highest losing sectors, this seems to be from the overall market uncertainty in the US.</a:t>
          </a:r>
        </a:p>
        <a:p>
          <a:r>
            <a:rPr lang="en-IE" sz="800" baseline="0"/>
            <a:t>The US based energy assets (XOM and SLNG) have also seen a decline, primarily due to oil price decreases, while the Norwegian based asset (EQNR) has grown by &gt;5%. It seems that ENQR was given the green light to proceed with a large wind farm project for the EU. This further strengthens my idea that I may need to diversify further into the EU market.</a:t>
          </a:r>
        </a:p>
        <a:p>
          <a:r>
            <a:rPr lang="en-IE" sz="800" baseline="0"/>
            <a:t>All other areas covered in my portfolio have seemed to have remained stable with minimal movement.</a:t>
          </a:r>
        </a:p>
        <a:p>
          <a:r>
            <a:rPr lang="en-IE" sz="800" baseline="0"/>
            <a:t>Along with the European financials sector I will be monitoring the European Consumer sector (ULVR.L, DGE.L, RKT.L, LVMH.PA, OR.PA to name a few that I will consider)</a:t>
          </a:r>
        </a:p>
        <a:p>
          <a:r>
            <a:rPr lang="en-IE" sz="800" baseline="0"/>
            <a:t>.</a:t>
          </a:r>
        </a:p>
        <a:p>
          <a:r>
            <a:rPr lang="en-IE" sz="800" baseline="0"/>
            <a:t>Both the EUR and GBP have strengthened slightly compared to the USD, giving &gt;1% growth in each.</a:t>
          </a:r>
        </a:p>
        <a:p>
          <a:endParaRPr lang="en-IE" sz="800" baseline="0"/>
        </a:p>
        <a:p>
          <a:r>
            <a:rPr lang="en-IE" sz="800" baseline="0"/>
            <a:t>Moving forward I realise that further diversifcation is needed, while also being mindful of the effect of adding too many variables on the er, sd and sharpe ratio of my portfolio. I also need to be aware that even though right now the US market may look somewhat uncertain and at risk of suffering from increased volatility, the European market can also change very quickly. Diversification between sectors and markets is important but I must not overexpose myself to areas of the market like industrials, crypto, reits and technology. </a:t>
          </a:r>
        </a:p>
        <a:p>
          <a:r>
            <a:rPr lang="en-IE" sz="800" baseline="0"/>
            <a:t>Future research may need to be done to identify if there is any investment opportunities in Asian countries, extra caution must be taken as many economies are heavily influenced by political events (action taken by China or in-country political issues).</a:t>
          </a:r>
        </a:p>
        <a:p>
          <a:endParaRPr lang="en-IE" sz="800" baseline="0"/>
        </a:p>
        <a:p>
          <a:r>
            <a:rPr lang="en-IE" sz="800" u="sng" baseline="0"/>
            <a:t>Notable Events</a:t>
          </a:r>
        </a:p>
        <a:p>
          <a:r>
            <a:rPr lang="en-IE" sz="800" baseline="0">
              <a:solidFill>
                <a:schemeClr val="dk1"/>
              </a:solidFill>
              <a:effectLst/>
              <a:latin typeface="+mn-lt"/>
              <a:ea typeface="+mn-ea"/>
              <a:cs typeface="+mn-cs"/>
            </a:rPr>
            <a:t>- On May 23rd the US first threatened the EU with a 50% tariff on June 1, but through tough discussions during the weekend the US delayed the 50% tariff on the EU until July 9. This caused much of US based assets to drop by ~1% on the 23rd of May.</a:t>
          </a:r>
          <a:endParaRPr lang="en-IE" sz="800">
            <a:effectLst/>
          </a:endParaRPr>
        </a:p>
        <a:p>
          <a:r>
            <a:rPr lang="en-IE" sz="800" baseline="0">
              <a:solidFill>
                <a:schemeClr val="dk1"/>
              </a:solidFill>
              <a:effectLst/>
              <a:latin typeface="+mn-lt"/>
              <a:ea typeface="+mn-ea"/>
              <a:cs typeface="+mn-cs"/>
            </a:rPr>
            <a:t>- Also on May 23rd the US threated a 25% tariff on iPhones manufactured outside of the US, this caused AAPL to fall by ~3% promptly.</a:t>
          </a:r>
          <a:endParaRPr lang="en-IE" sz="800">
            <a:effectLst/>
          </a:endParaRPr>
        </a:p>
        <a:p>
          <a:r>
            <a:rPr lang="en-IE" sz="800" baseline="0">
              <a:solidFill>
                <a:schemeClr val="dk1"/>
              </a:solidFill>
              <a:effectLst/>
              <a:latin typeface="+mn-lt"/>
              <a:ea typeface="+mn-ea"/>
              <a:cs typeface="+mn-cs"/>
            </a:rPr>
            <a:t>- Markets were closed on Monday due to Memorial Day.</a:t>
          </a:r>
          <a:endParaRPr lang="en-IE" sz="800">
            <a:effectLst/>
          </a:endParaRPr>
        </a:p>
        <a:p>
          <a:r>
            <a:rPr lang="en-IE" sz="800" baseline="0">
              <a:solidFill>
                <a:schemeClr val="dk1"/>
              </a:solidFill>
              <a:effectLst/>
              <a:latin typeface="+mn-lt"/>
              <a:ea typeface="+mn-ea"/>
              <a:cs typeface="+mn-cs"/>
            </a:rPr>
            <a:t>- On May 27, markets reopened and surged after the news of the tariff delay.</a:t>
          </a:r>
        </a:p>
        <a:p>
          <a:r>
            <a:rPr lang="en-IE" sz="800" u="sng" baseline="0">
              <a:solidFill>
                <a:schemeClr val="dk1"/>
              </a:solidFill>
              <a:effectLst/>
              <a:latin typeface="+mn-lt"/>
              <a:ea typeface="+mn-ea"/>
              <a:cs typeface="+mn-cs"/>
            </a:rPr>
            <a:t>Further points</a:t>
          </a:r>
        </a:p>
        <a:p>
          <a:r>
            <a:rPr lang="en-IE" sz="800" b="0" i="0">
              <a:solidFill>
                <a:schemeClr val="dk1"/>
              </a:solidFill>
              <a:effectLst/>
              <a:latin typeface="+mn-lt"/>
              <a:ea typeface="+mn-ea"/>
              <a:cs typeface="+mn-cs"/>
            </a:rPr>
            <a:t>- My target risk and return are the same as the overview of my initial portfolio, where my realistic goal would be of ~8% annualised return and a standard deviation of below 10%. </a:t>
          </a:r>
        </a:p>
        <a:p>
          <a:r>
            <a:rPr lang="en-IE" sz="800" b="0" i="0">
              <a:solidFill>
                <a:schemeClr val="dk1"/>
              </a:solidFill>
              <a:effectLst/>
              <a:latin typeface="+mn-lt"/>
              <a:ea typeface="+mn-ea"/>
              <a:cs typeface="+mn-cs"/>
            </a:rPr>
            <a:t>- So originally I used quarterly figures to see more accurate short-term stock data, as this assignments is based over ~2 months performance, where now I think that using returns and sd from this is ok, the Sharpe ratio is less relevant from the quarterly data. The use of quarterly data also lets me see the extent of correlation much more accurately when it comes to assets, one of my original goals was to minimise correlation.</a:t>
          </a:r>
        </a:p>
        <a:p>
          <a:r>
            <a:rPr lang="en-IE" sz="800" b="0" i="0">
              <a:solidFill>
                <a:schemeClr val="dk1"/>
              </a:solidFill>
              <a:effectLst/>
              <a:latin typeface="+mn-lt"/>
              <a:ea typeface="+mn-ea"/>
              <a:cs typeface="+mn-cs"/>
            </a:rPr>
            <a:t>- So yes I plan to adjust my own portfolio slowly over the coming weeks (big changes at once would not be beneficial), this week of monitoring my portfolio should allow me to get a more rounded view as to which assets I can reduce my allocation to and areas where I should increase allocation. So far, as per the transactions sheet, I have sold ~15% of my BTC shares and added more bond exposure through BNDX. This was done as in the initial portfolio overview I made the observation that BTC share should be lowered in order to help meet my goal of a &lt;10% standard deviation. </a:t>
          </a:r>
        </a:p>
        <a:p>
          <a:r>
            <a:rPr lang="en-IE" sz="800" b="0" i="0">
              <a:solidFill>
                <a:schemeClr val="dk1"/>
              </a:solidFill>
              <a:effectLst/>
              <a:latin typeface="+mn-lt"/>
              <a:ea typeface="+mn-ea"/>
              <a:cs typeface="+mn-cs"/>
            </a:rPr>
            <a:t>- I will also be acting upon my observation that further diversifying into other markets (European) may be necessary to ensure that losses due to uncertainty within the US market may incur on my portfolio. Minimal correlation, &lt;10% sd and maintaining a annualised return of above or ~8% is the main objective. As we can see with my diversification of the Energy sector (EQNR, SLNG and XOM), the American based assets performed negatively while the European based asset performed positively due to market fluctuations regarding oil and green energy. </a:t>
          </a:r>
        </a:p>
        <a:p>
          <a:endParaRPr lang="en-IE" sz="800" u="sng">
            <a:effectLst/>
          </a:endParaRPr>
        </a:p>
        <a:p>
          <a:endParaRPr lang="en-IE" sz="800" u="sng" baseline="0"/>
        </a:p>
        <a:p>
          <a:endParaRPr lang="en-IE" sz="800" baseline="0"/>
        </a:p>
        <a:p>
          <a:endParaRPr lang="en-IE" sz="800" baseline="0"/>
        </a:p>
        <a:p>
          <a:endParaRPr lang="en-IE" sz="800" baseline="0"/>
        </a:p>
        <a:p>
          <a:endParaRPr lang="en-IE" sz="800" baseline="0"/>
        </a:p>
        <a:p>
          <a:endParaRPr lang="en-IE" sz="800" baseline="0"/>
        </a:p>
        <a:p>
          <a:endParaRPr lang="en-IE" sz="1100" baseline="0"/>
        </a:p>
      </xdr:txBody>
    </xdr:sp>
    <xdr:clientData/>
  </xdr:twoCellAnchor>
  <xdr:twoCellAnchor>
    <xdr:from>
      <xdr:col>17</xdr:col>
      <xdr:colOff>676275</xdr:colOff>
      <xdr:row>0</xdr:row>
      <xdr:rowOff>190500</xdr:rowOff>
    </xdr:from>
    <xdr:to>
      <xdr:col>25</xdr:col>
      <xdr:colOff>676275</xdr:colOff>
      <xdr:row>37</xdr:row>
      <xdr:rowOff>192248</xdr:rowOff>
    </xdr:to>
    <xdr:sp macro="" textlink="">
      <xdr:nvSpPr>
        <xdr:cNvPr id="4" name="TextBox 3">
          <a:extLst>
            <a:ext uri="{FF2B5EF4-FFF2-40B4-BE49-F238E27FC236}">
              <a16:creationId xmlns:a16="http://schemas.microsoft.com/office/drawing/2014/main" id="{E96C78F0-49C8-7CAD-8BEA-A0C681EC3A97}"/>
            </a:ext>
          </a:extLst>
        </xdr:cNvPr>
        <xdr:cNvSpPr txBox="1"/>
      </xdr:nvSpPr>
      <xdr:spPr>
        <a:xfrm>
          <a:off x="12263569" y="190500"/>
          <a:ext cx="5452844" cy="7429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E" sz="800"/>
            <a:t>- Portfolio Value - $100,495.07 (-0.51%)</a:t>
          </a:r>
        </a:p>
        <a:p>
          <a:r>
            <a:rPr lang="en-IE" sz="800"/>
            <a:t>- Top Performer     (%) -</a:t>
          </a:r>
          <a:r>
            <a:rPr lang="en-IE" sz="800" baseline="0"/>
            <a:t> PLD - Prologis (+2.00% gain)</a:t>
          </a:r>
          <a:endParaRPr lang="en-IE" sz="800"/>
        </a:p>
        <a:p>
          <a:r>
            <a:rPr lang="en-IE" sz="800"/>
            <a:t>                                  ($) - PLD - Prologis (+153.36 gain)</a:t>
          </a:r>
        </a:p>
        <a:p>
          <a:r>
            <a:rPr lang="en-IE" sz="800"/>
            <a:t>- Worst Performer (%) - TSLA - Tesla, Inc. (-5.57% loss)</a:t>
          </a:r>
        </a:p>
        <a:p>
          <a:r>
            <a:rPr lang="en-IE" sz="800"/>
            <a:t>                                  ($) - RHM.DE - Rheinmetal AG (-$258.20 loss)</a:t>
          </a:r>
        </a:p>
        <a:p>
          <a:endParaRPr lang="en-IE" sz="800"/>
        </a:p>
        <a:p>
          <a:r>
            <a:rPr lang="en-IE" sz="800" u="sng"/>
            <a:t>Notable</a:t>
          </a:r>
          <a:r>
            <a:rPr lang="en-IE" sz="800" u="sng" baseline="0"/>
            <a:t> Events</a:t>
          </a:r>
        </a:p>
        <a:p>
          <a:r>
            <a:rPr lang="en-IE" sz="800" u="none" baseline="0"/>
            <a:t>- On May 28th, NVDA strong earnings call, strong boost for the technology sector.</a:t>
          </a:r>
        </a:p>
        <a:p>
          <a:r>
            <a:rPr lang="en-IE" sz="800" u="none" baseline="0"/>
            <a:t>- June 1st, Ukrainian drone strikes on Russia caused oil prices to rise.</a:t>
          </a:r>
        </a:p>
        <a:p>
          <a:r>
            <a:rPr lang="en-IE" sz="800" u="none" baseline="0"/>
            <a:t>- June 1st, Bulgaria announced that it will join the eurozone.</a:t>
          </a:r>
        </a:p>
        <a:p>
          <a:r>
            <a:rPr lang="en-IE" sz="800" u="none" baseline="0"/>
            <a:t>- June 2nd, Nawrocki elected president of Poland (right wing, anti EU), has led me to dismiss interest in any Eastern European based assets as negative media attention.</a:t>
          </a:r>
        </a:p>
        <a:p>
          <a:r>
            <a:rPr lang="en-IE" sz="800" u="none" baseline="0"/>
            <a:t>- Further uncertainty over trade tariffs and various sectors in the US markets.</a:t>
          </a:r>
        </a:p>
        <a:p>
          <a:endParaRPr lang="en-IE" sz="800" u="none" baseline="0"/>
        </a:p>
        <a:p>
          <a:r>
            <a:rPr lang="en-IE" sz="800" u="sng" baseline="0"/>
            <a:t>Effect on Portfolio</a:t>
          </a:r>
        </a:p>
        <a:p>
          <a:r>
            <a:rPr lang="en-IE" sz="800" u="none" baseline="0"/>
            <a:t>- Overall very little movement in my portfolio.</a:t>
          </a:r>
        </a:p>
        <a:p>
          <a:r>
            <a:rPr lang="en-IE" sz="800" u="none" baseline="0"/>
            <a:t>- Boost from NVDA most likely is what made VOO finish this week on a positive.</a:t>
          </a:r>
        </a:p>
        <a:p>
          <a:r>
            <a:rPr lang="en-IE" sz="800" u="none" baseline="0"/>
            <a:t>- BYD overtook TSLA in being the worlds largest EV maker on the 26/05/2025.</a:t>
          </a:r>
        </a:p>
        <a:p>
          <a:r>
            <a:rPr lang="en-IE" sz="800" u="none" baseline="0"/>
            <a:t>- Increased political and military tensions in many regions of the world isn't helping VWO ETF to grow as it should.</a:t>
          </a:r>
        </a:p>
        <a:p>
          <a:r>
            <a:rPr lang="en-IE" sz="800" u="none" baseline="0"/>
            <a:t>- But, these increased tensions are allowing Industrials sector to grow (weapons and machinery is essential, especially in the EU).</a:t>
          </a:r>
        </a:p>
        <a:p>
          <a:r>
            <a:rPr lang="en-IE" sz="800" u="none" baseline="0"/>
            <a:t>~~</a:t>
          </a:r>
        </a:p>
        <a:p>
          <a:r>
            <a:rPr lang="en-IE" sz="800" u="none" baseline="0"/>
            <a:t>As mentioned last week I've decided to further diversify my portfolio using European based assets, certain assets were removed from my selection due to political reasons (Polish assets), high correlation with other assets (SAN.MC, etc.).</a:t>
          </a:r>
        </a:p>
        <a:p>
          <a:r>
            <a:rPr lang="en-IE" sz="800" u="none" baseline="0"/>
            <a:t>~~</a:t>
          </a:r>
        </a:p>
        <a:p>
          <a:r>
            <a:rPr lang="en-IE" sz="800" u="none" baseline="0"/>
            <a:t>Will be aiming to get closer to my target standard deviation of &lt;10%, while maintaing a high but realistic return and sharpe ratio.</a:t>
          </a:r>
        </a:p>
        <a:p>
          <a:r>
            <a:rPr lang="en-IE" sz="800" u="none" baseline="0"/>
            <a:t>American steel industry may be one to keep a closer eye on, with tariffs being an uncertainty, it is still important to note that Trump is encouraging "Made in the USA". Steel is one of the most important materials in the world so it could be assumed that with or without tariffs, the US steel industry should grow.</a:t>
          </a:r>
        </a:p>
        <a:p>
          <a:r>
            <a:rPr lang="en-IE" sz="800" u="sng" baseline="0"/>
            <a:t>Transactions</a:t>
          </a:r>
        </a:p>
        <a:p>
          <a:r>
            <a:rPr lang="en-IE" sz="800" u="none" baseline="0"/>
            <a:t>~ Adding BNP.PA (European Financial Sector), ULVR.L, DGE.L, RKT.L  (all 3 are part of the European Consumer Sector) in order to diversify the portfolio.</a:t>
          </a:r>
        </a:p>
        <a:p>
          <a:r>
            <a:rPr lang="en-IE" sz="800" u="none" baseline="0"/>
            <a:t>~ In order to acheive my target standard deviation of ~10%, from the Solver function I can see that I need to sell the vast majority of the assets GOOGL and TSLA.</a:t>
          </a:r>
        </a:p>
        <a:p>
          <a:r>
            <a:rPr lang="en-IE" sz="800" u="none" baseline="0"/>
            <a:t>~ Lowering holdings of BTC again this week in order to avoid large volatility.</a:t>
          </a:r>
        </a:p>
        <a:p>
          <a:r>
            <a:rPr lang="en-IE" sz="800" u="none" baseline="0"/>
            <a:t>~~</a:t>
          </a:r>
        </a:p>
        <a:p>
          <a:r>
            <a:rPr lang="en-IE" sz="800" u="none" baseline="0"/>
            <a:t>Using Annual data ~</a:t>
          </a:r>
        </a:p>
        <a:p>
          <a:r>
            <a:rPr lang="en-IE" sz="800" b="0" i="0" u="none" strike="noStrike">
              <a:solidFill>
                <a:schemeClr val="dk1"/>
              </a:solidFill>
              <a:effectLst/>
              <a:latin typeface="+mn-lt"/>
              <a:ea typeface="+mn-ea"/>
              <a:cs typeface="+mn-cs"/>
            </a:rPr>
            <a:t>Sum of weight</a:t>
          </a:r>
          <a:r>
            <a:rPr lang="en-IE" sz="800"/>
            <a:t> </a:t>
          </a:r>
          <a:r>
            <a:rPr lang="en-IE" sz="800" b="0" i="0" u="none" strike="noStrike">
              <a:solidFill>
                <a:schemeClr val="dk1"/>
              </a:solidFill>
              <a:effectLst/>
              <a:latin typeface="+mn-lt"/>
              <a:ea typeface="+mn-ea"/>
              <a:cs typeface="+mn-cs"/>
            </a:rPr>
            <a:t>0.98</a:t>
          </a:r>
          <a:r>
            <a:rPr lang="en-IE" sz="800"/>
            <a:t> </a:t>
          </a:r>
          <a:r>
            <a:rPr lang="en-IE" sz="800" b="0" i="0" u="none" strike="noStrike">
              <a:solidFill>
                <a:schemeClr val="dk1"/>
              </a:solidFill>
              <a:effectLst/>
              <a:latin typeface="+mn-lt"/>
              <a:ea typeface="+mn-ea"/>
              <a:cs typeface="+mn-cs"/>
            </a:rPr>
            <a:t>Portfolio Expected return</a:t>
          </a:r>
          <a:r>
            <a:rPr lang="en-IE" sz="800"/>
            <a:t> </a:t>
          </a:r>
          <a:r>
            <a:rPr lang="en-IE" sz="800" b="0" i="0" u="none" strike="noStrike">
              <a:solidFill>
                <a:schemeClr val="dk1"/>
              </a:solidFill>
              <a:effectLst/>
              <a:latin typeface="+mn-lt"/>
              <a:ea typeface="+mn-ea"/>
              <a:cs typeface="+mn-cs"/>
            </a:rPr>
            <a:t>18.72%</a:t>
          </a:r>
          <a:r>
            <a:rPr lang="en-IE" sz="800"/>
            <a:t> </a:t>
          </a:r>
        </a:p>
        <a:p>
          <a:r>
            <a:rPr lang="en-IE" sz="800" b="0" i="0" u="none" strike="noStrike">
              <a:solidFill>
                <a:schemeClr val="dk1"/>
              </a:solidFill>
              <a:effectLst/>
              <a:latin typeface="+mn-lt"/>
              <a:ea typeface="+mn-ea"/>
              <a:cs typeface="+mn-cs"/>
            </a:rPr>
            <a:t>Portfolio Standard Deviation</a:t>
          </a:r>
          <a:r>
            <a:rPr lang="en-IE" sz="800"/>
            <a:t> </a:t>
          </a:r>
          <a:r>
            <a:rPr lang="en-IE" sz="800" b="0" i="0" u="none" strike="noStrike">
              <a:solidFill>
                <a:schemeClr val="dk1"/>
              </a:solidFill>
              <a:effectLst/>
              <a:latin typeface="+mn-lt"/>
              <a:ea typeface="+mn-ea"/>
              <a:cs typeface="+mn-cs"/>
            </a:rPr>
            <a:t>12.99%</a:t>
          </a:r>
          <a:r>
            <a:rPr lang="en-IE" sz="800"/>
            <a:t> </a:t>
          </a:r>
          <a:r>
            <a:rPr lang="en-IE" sz="800" b="0" i="0" u="none" strike="noStrike">
              <a:solidFill>
                <a:schemeClr val="dk1"/>
              </a:solidFill>
              <a:effectLst/>
              <a:latin typeface="+mn-lt"/>
              <a:ea typeface="+mn-ea"/>
              <a:cs typeface="+mn-cs"/>
            </a:rPr>
            <a:t> </a:t>
          </a:r>
          <a:r>
            <a:rPr lang="en-IE" sz="800"/>
            <a:t> </a:t>
          </a:r>
          <a:r>
            <a:rPr lang="en-IE" sz="800" b="0" i="0" u="none" strike="noStrike">
              <a:solidFill>
                <a:schemeClr val="dk1"/>
              </a:solidFill>
              <a:effectLst/>
              <a:latin typeface="+mn-lt"/>
              <a:ea typeface="+mn-ea"/>
              <a:cs typeface="+mn-cs"/>
            </a:rPr>
            <a:t> </a:t>
          </a:r>
          <a:r>
            <a:rPr lang="en-IE" sz="800"/>
            <a:t> </a:t>
          </a:r>
          <a:r>
            <a:rPr lang="en-IE" sz="800" b="0" i="0" u="none" strike="noStrike">
              <a:solidFill>
                <a:schemeClr val="dk1"/>
              </a:solidFill>
              <a:effectLst/>
              <a:latin typeface="+mn-lt"/>
              <a:ea typeface="+mn-ea"/>
              <a:cs typeface="+mn-cs"/>
            </a:rPr>
            <a:t>Expected Sharp ratio</a:t>
          </a:r>
          <a:r>
            <a:rPr lang="en-IE" sz="800"/>
            <a:t> </a:t>
          </a:r>
          <a:r>
            <a:rPr lang="en-IE" sz="800" b="0" i="0" u="none" strike="noStrike">
              <a:solidFill>
                <a:schemeClr val="dk1"/>
              </a:solidFill>
              <a:effectLst/>
              <a:latin typeface="+mn-lt"/>
              <a:ea typeface="+mn-ea"/>
              <a:cs typeface="+mn-cs"/>
            </a:rPr>
            <a:t> 1.36 </a:t>
          </a:r>
        </a:p>
        <a:p>
          <a:endParaRPr lang="en-IE" sz="800" b="0" i="0" u="none" strike="noStrike" baseline="0">
            <a:solidFill>
              <a:schemeClr val="dk1"/>
            </a:solidFill>
            <a:effectLst/>
            <a:latin typeface="+mn-lt"/>
            <a:ea typeface="+mn-ea"/>
            <a:cs typeface="+mn-cs"/>
          </a:endParaRPr>
        </a:p>
        <a:p>
          <a:r>
            <a:rPr lang="en-IE" sz="800" b="0" i="0" u="none" strike="noStrike" baseline="0">
              <a:solidFill>
                <a:schemeClr val="dk1"/>
              </a:solidFill>
              <a:effectLst/>
              <a:latin typeface="+mn-lt"/>
              <a:ea typeface="+mn-ea"/>
              <a:cs typeface="+mn-cs"/>
            </a:rPr>
            <a:t>Compared to the previous week we can see that our expected return and sd has increased and sharpe ratio in turn has decreased, the changes I have made to the allocation this week should hopefully clearly show the improvement in the three values.</a:t>
          </a:r>
          <a:endParaRPr lang="en-IE" sz="800" u="none" baseline="0"/>
        </a:p>
        <a:p>
          <a:r>
            <a:rPr lang="en-IE" sz="800" b="0" i="0" baseline="0">
              <a:solidFill>
                <a:schemeClr val="dk1"/>
              </a:solidFill>
              <a:effectLst/>
              <a:latin typeface="+mn-lt"/>
              <a:ea typeface="+mn-ea"/>
              <a:cs typeface="+mn-cs"/>
            </a:rPr>
            <a:t>~~</a:t>
          </a:r>
          <a:endParaRPr lang="en-IE" sz="800">
            <a:effectLst/>
          </a:endParaRPr>
        </a:p>
        <a:p>
          <a:r>
            <a:rPr lang="en-IE" sz="800" b="0" i="0" baseline="0">
              <a:solidFill>
                <a:schemeClr val="dk1"/>
              </a:solidFill>
              <a:effectLst/>
              <a:latin typeface="+mn-lt"/>
              <a:ea typeface="+mn-ea"/>
              <a:cs typeface="+mn-cs"/>
            </a:rPr>
            <a:t>After conducting the transactions, the portfolio looks like this.</a:t>
          </a:r>
          <a:endParaRPr lang="en-IE" sz="800">
            <a:effectLst/>
          </a:endParaRPr>
        </a:p>
        <a:p>
          <a:r>
            <a:rPr lang="en-IE" sz="800" b="0" i="0">
              <a:solidFill>
                <a:schemeClr val="dk1"/>
              </a:solidFill>
              <a:effectLst/>
              <a:latin typeface="+mn-lt"/>
              <a:ea typeface="+mn-ea"/>
              <a:cs typeface="+mn-cs"/>
            </a:rPr>
            <a:t>Sum of weight</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 </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0.97782</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Portfolio Expected return</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15.11%</a:t>
          </a:r>
          <a:r>
            <a:rPr lang="en-IE" sz="800">
              <a:solidFill>
                <a:schemeClr val="dk1"/>
              </a:solidFill>
              <a:effectLst/>
              <a:latin typeface="+mn-lt"/>
              <a:ea typeface="+mn-ea"/>
              <a:cs typeface="+mn-cs"/>
            </a:rPr>
            <a:t> </a:t>
          </a:r>
          <a:endParaRPr lang="en-IE" sz="800">
            <a:effectLst/>
          </a:endParaRPr>
        </a:p>
        <a:p>
          <a:r>
            <a:rPr lang="en-IE" sz="800" b="0" i="0">
              <a:solidFill>
                <a:schemeClr val="dk1"/>
              </a:solidFill>
              <a:effectLst/>
              <a:latin typeface="+mn-lt"/>
              <a:ea typeface="+mn-ea"/>
              <a:cs typeface="+mn-cs"/>
            </a:rPr>
            <a:t>Portfolio Standard Deviation</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9.27%</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 </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 </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 </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 </a:t>
          </a:r>
          <a:r>
            <a:rPr lang="en-IE" sz="800">
              <a:solidFill>
                <a:schemeClr val="dk1"/>
              </a:solidFill>
              <a:effectLst/>
              <a:latin typeface="+mn-lt"/>
              <a:ea typeface="+mn-ea"/>
              <a:cs typeface="+mn-cs"/>
            </a:rPr>
            <a:t> </a:t>
          </a:r>
          <a:r>
            <a:rPr lang="en-IE" sz="800" b="0" i="0">
              <a:solidFill>
                <a:schemeClr val="dk1"/>
              </a:solidFill>
              <a:effectLst/>
              <a:latin typeface="+mn-lt"/>
              <a:ea typeface="+mn-ea"/>
              <a:cs typeface="+mn-cs"/>
            </a:rPr>
            <a:t>Expected Sharp ratio</a:t>
          </a:r>
          <a:r>
            <a:rPr lang="en-IE" sz="800" b="0">
              <a:solidFill>
                <a:schemeClr val="dk1"/>
              </a:solidFill>
              <a:effectLst/>
              <a:latin typeface="+mn-lt"/>
              <a:ea typeface="+mn-ea"/>
              <a:cs typeface="+mn-cs"/>
            </a:rPr>
            <a:t> </a:t>
          </a:r>
          <a:r>
            <a:rPr lang="en-IE" sz="800" b="0" i="0">
              <a:solidFill>
                <a:schemeClr val="dk1"/>
              </a:solidFill>
              <a:effectLst/>
              <a:latin typeface="+mn-lt"/>
              <a:ea typeface="+mn-ea"/>
              <a:cs typeface="+mn-cs"/>
            </a:rPr>
            <a:t> </a:t>
          </a:r>
          <a:r>
            <a:rPr lang="en-IE" sz="800" b="0">
              <a:solidFill>
                <a:schemeClr val="dk1"/>
              </a:solidFill>
              <a:effectLst/>
              <a:latin typeface="+mn-lt"/>
              <a:ea typeface="+mn-ea"/>
              <a:cs typeface="+mn-cs"/>
            </a:rPr>
            <a:t> </a:t>
          </a:r>
          <a:r>
            <a:rPr lang="en-IE" sz="800" b="0" i="0">
              <a:solidFill>
                <a:schemeClr val="dk1"/>
              </a:solidFill>
              <a:effectLst/>
              <a:latin typeface="+mn-lt"/>
              <a:ea typeface="+mn-ea"/>
              <a:cs typeface="+mn-cs"/>
            </a:rPr>
            <a:t>1.17</a:t>
          </a:r>
          <a:r>
            <a:rPr lang="en-IE" sz="800">
              <a:solidFill>
                <a:schemeClr val="dk1"/>
              </a:solidFill>
              <a:effectLst/>
              <a:latin typeface="+mn-lt"/>
              <a:ea typeface="+mn-ea"/>
              <a:cs typeface="+mn-cs"/>
            </a:rPr>
            <a:t> </a:t>
          </a:r>
          <a:endParaRPr lang="en-IE" sz="800">
            <a:effectLst/>
          </a:endParaRPr>
        </a:p>
        <a:p>
          <a:r>
            <a:rPr lang="en-IE" sz="800" baseline="0">
              <a:solidFill>
                <a:schemeClr val="dk1"/>
              </a:solidFill>
              <a:effectLst/>
              <a:latin typeface="+mn-lt"/>
              <a:ea typeface="+mn-ea"/>
              <a:cs typeface="+mn-cs"/>
            </a:rPr>
            <a:t>From this we can see sd has a value which matches our realistic goal of being below 10%,</a:t>
          </a:r>
          <a:endParaRPr lang="en-IE" sz="800">
            <a:effectLst/>
          </a:endParaRPr>
        </a:p>
        <a:p>
          <a:r>
            <a:rPr lang="en-IE" sz="800" baseline="0">
              <a:solidFill>
                <a:schemeClr val="dk1"/>
              </a:solidFill>
              <a:effectLst/>
              <a:latin typeface="+mn-lt"/>
              <a:ea typeface="+mn-ea"/>
              <a:cs typeface="+mn-cs"/>
            </a:rPr>
            <a:t>The only issue now is that our er has also declined slightly, and so has the most important value of Sharpe ratio.</a:t>
          </a:r>
          <a:endParaRPr lang="en-IE" sz="800">
            <a:effectLst/>
          </a:endParaRPr>
        </a:p>
        <a:p>
          <a:r>
            <a:rPr lang="en-IE" sz="800" baseline="0">
              <a:solidFill>
                <a:schemeClr val="dk1"/>
              </a:solidFill>
              <a:effectLst/>
              <a:latin typeface="+mn-lt"/>
              <a:ea typeface="+mn-ea"/>
              <a:cs typeface="+mn-cs"/>
            </a:rPr>
            <a:t>Using Solver I was able to increase the Sharpe Ratio to 1.43, but this making adjustments that I deemed unnecessary (reducing bond exposure, VOO holdings and increasing weights of one stock to &gt;10%. </a:t>
          </a:r>
          <a:endParaRPr lang="en-IE" sz="800">
            <a:effectLst/>
          </a:endParaRPr>
        </a:p>
        <a:p>
          <a:r>
            <a:rPr lang="en-IE" sz="800" baseline="0">
              <a:solidFill>
                <a:schemeClr val="dk1"/>
              </a:solidFill>
              <a:effectLst/>
              <a:latin typeface="+mn-lt"/>
              <a:ea typeface="+mn-ea"/>
              <a:cs typeface="+mn-cs"/>
            </a:rPr>
            <a:t>Bond exposure is necessary to remove a lot of volatility from the portfolio,</a:t>
          </a:r>
          <a:endParaRPr lang="en-IE" sz="800">
            <a:effectLst/>
          </a:endParaRPr>
        </a:p>
        <a:p>
          <a:r>
            <a:rPr lang="en-IE" sz="800" baseline="0">
              <a:solidFill>
                <a:schemeClr val="dk1"/>
              </a:solidFill>
              <a:effectLst/>
              <a:latin typeface="+mn-lt"/>
              <a:ea typeface="+mn-ea"/>
              <a:cs typeface="+mn-cs"/>
            </a:rPr>
            <a:t>VOO is essential in my portfolio as it gives exposure to sectors and companies that we haven't invested in.</a:t>
          </a:r>
          <a:endParaRPr lang="en-IE" sz="800">
            <a:effectLst/>
          </a:endParaRPr>
        </a:p>
        <a:p>
          <a:r>
            <a:rPr lang="en-IE" sz="800" baseline="0">
              <a:solidFill>
                <a:schemeClr val="dk1"/>
              </a:solidFill>
              <a:effectLst/>
              <a:latin typeface="+mn-lt"/>
              <a:ea typeface="+mn-ea"/>
              <a:cs typeface="+mn-cs"/>
            </a:rPr>
            <a:t>Increasing the weight of one stock to &gt;10% is unappealing as it is the stock market and nothing is truly predictable.</a:t>
          </a:r>
          <a:endParaRPr lang="en-IE" sz="800">
            <a:effectLst/>
          </a:endParaRPr>
        </a:p>
        <a:p>
          <a:r>
            <a:rPr lang="en-IE" sz="800" baseline="0">
              <a:solidFill>
                <a:schemeClr val="dk1"/>
              </a:solidFill>
              <a:effectLst/>
              <a:latin typeface="+mn-lt"/>
              <a:ea typeface="+mn-ea"/>
              <a:cs typeface="+mn-cs"/>
            </a:rPr>
            <a:t>~~~</a:t>
          </a:r>
          <a:endParaRPr lang="en-IE" sz="800">
            <a:effectLst/>
          </a:endParaRPr>
        </a:p>
        <a:p>
          <a:r>
            <a:rPr lang="en-IE" sz="800" baseline="0">
              <a:solidFill>
                <a:schemeClr val="dk1"/>
              </a:solidFill>
              <a:effectLst/>
              <a:latin typeface="+mn-lt"/>
              <a:ea typeface="+mn-ea"/>
              <a:cs typeface="+mn-cs"/>
            </a:rPr>
            <a:t>Main focus for improvement when reevaluating next week should be to now increase expected returns, while also maintaining an sd of under 10%.</a:t>
          </a:r>
          <a:endParaRPr lang="en-IE" sz="800">
            <a:effectLst/>
          </a:endParaRPr>
        </a:p>
        <a:p>
          <a:endParaRPr lang="en-IE" sz="800" u="none" baseline="0"/>
        </a:p>
      </xdr:txBody>
    </xdr:sp>
    <xdr:clientData/>
  </xdr:twoCellAnchor>
  <xdr:twoCellAnchor>
    <xdr:from>
      <xdr:col>27</xdr:col>
      <xdr:colOff>0</xdr:colOff>
      <xdr:row>0</xdr:row>
      <xdr:rowOff>190498</xdr:rowOff>
    </xdr:from>
    <xdr:to>
      <xdr:col>35</xdr:col>
      <xdr:colOff>9525</xdr:colOff>
      <xdr:row>45</xdr:row>
      <xdr:rowOff>34954</xdr:rowOff>
    </xdr:to>
    <xdr:sp macro="" textlink="">
      <xdr:nvSpPr>
        <xdr:cNvPr id="5" name="TextBox 4">
          <a:extLst>
            <a:ext uri="{FF2B5EF4-FFF2-40B4-BE49-F238E27FC236}">
              <a16:creationId xmlns:a16="http://schemas.microsoft.com/office/drawing/2014/main" id="{0FE6B22B-F13C-F78F-D0D5-5101EB5785DF}"/>
            </a:ext>
          </a:extLst>
        </xdr:cNvPr>
        <xdr:cNvSpPr txBox="1"/>
      </xdr:nvSpPr>
      <xdr:spPr>
        <a:xfrm>
          <a:off x="18403349" y="190498"/>
          <a:ext cx="5462369" cy="88800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E" sz="800">
              <a:solidFill>
                <a:schemeClr val="dk1"/>
              </a:solidFill>
              <a:effectLst/>
              <a:latin typeface="+mn-lt"/>
              <a:ea typeface="+mn-ea"/>
              <a:cs typeface="+mn-cs"/>
            </a:rPr>
            <a:t>- Portfolio Value - $102,092.3 (+1.59%)</a:t>
          </a:r>
          <a:endParaRPr lang="en-IE" sz="800">
            <a:effectLst/>
          </a:endParaRPr>
        </a:p>
        <a:p>
          <a:r>
            <a:rPr lang="en-IE" sz="800">
              <a:solidFill>
                <a:schemeClr val="dk1"/>
              </a:solidFill>
              <a:effectLst/>
              <a:latin typeface="+mn-lt"/>
              <a:ea typeface="+mn-ea"/>
              <a:cs typeface="+mn-cs"/>
            </a:rPr>
            <a:t>- Top Performer     (%) -</a:t>
          </a:r>
          <a:r>
            <a:rPr lang="en-IE" sz="800" baseline="0">
              <a:solidFill>
                <a:schemeClr val="dk1"/>
              </a:solidFill>
              <a:effectLst/>
              <a:latin typeface="+mn-lt"/>
              <a:ea typeface="+mn-ea"/>
              <a:cs typeface="+mn-cs"/>
            </a:rPr>
            <a:t> SBUX - Starbucks Corporation (+6.43% gain)</a:t>
          </a:r>
          <a:endParaRPr lang="en-IE" sz="800">
            <a:effectLst/>
          </a:endParaRPr>
        </a:p>
        <a:p>
          <a:r>
            <a:rPr lang="en-IE" sz="800">
              <a:solidFill>
                <a:schemeClr val="dk1"/>
              </a:solidFill>
              <a:effectLst/>
              <a:latin typeface="+mn-lt"/>
              <a:ea typeface="+mn-ea"/>
              <a:cs typeface="+mn-cs"/>
            </a:rPr>
            <a:t>                                  ($) - </a:t>
          </a:r>
          <a:r>
            <a:rPr lang="en-IE" sz="800" baseline="0">
              <a:solidFill>
                <a:schemeClr val="dk1"/>
              </a:solidFill>
              <a:effectLst/>
              <a:latin typeface="+mn-lt"/>
              <a:ea typeface="+mn-ea"/>
              <a:cs typeface="+mn-cs"/>
            </a:rPr>
            <a:t>SBUX - Starbucks Corporation </a:t>
          </a:r>
          <a:r>
            <a:rPr lang="en-IE" sz="800">
              <a:solidFill>
                <a:schemeClr val="dk1"/>
              </a:solidFill>
              <a:effectLst/>
              <a:latin typeface="+mn-lt"/>
              <a:ea typeface="+mn-ea"/>
              <a:cs typeface="+mn-cs"/>
            </a:rPr>
            <a:t>(+$383.60 gain)</a:t>
          </a:r>
          <a:endParaRPr lang="en-IE" sz="800">
            <a:effectLst/>
          </a:endParaRPr>
        </a:p>
        <a:p>
          <a:r>
            <a:rPr lang="en-IE" sz="800">
              <a:solidFill>
                <a:schemeClr val="dk1"/>
              </a:solidFill>
              <a:effectLst/>
              <a:latin typeface="+mn-lt"/>
              <a:ea typeface="+mn-ea"/>
              <a:cs typeface="+mn-cs"/>
            </a:rPr>
            <a:t>- Worst Performer (%) - SLNG</a:t>
          </a:r>
          <a:r>
            <a:rPr lang="en-IE" sz="800" baseline="0">
              <a:solidFill>
                <a:schemeClr val="dk1"/>
              </a:solidFill>
              <a:effectLst/>
              <a:latin typeface="+mn-lt"/>
              <a:ea typeface="+mn-ea"/>
              <a:cs typeface="+mn-cs"/>
            </a:rPr>
            <a:t> - Stabilis Solutions</a:t>
          </a:r>
          <a:r>
            <a:rPr lang="en-IE" sz="800">
              <a:solidFill>
                <a:schemeClr val="dk1"/>
              </a:solidFill>
              <a:effectLst/>
              <a:latin typeface="+mn-lt"/>
              <a:ea typeface="+mn-ea"/>
              <a:cs typeface="+mn-cs"/>
            </a:rPr>
            <a:t>, Inc. (-3.97% loss)</a:t>
          </a:r>
          <a:endParaRPr lang="en-IE" sz="800">
            <a:effectLst/>
          </a:endParaRPr>
        </a:p>
        <a:p>
          <a:r>
            <a:rPr lang="en-IE" sz="800">
              <a:solidFill>
                <a:schemeClr val="dk1"/>
              </a:solidFill>
              <a:effectLst/>
              <a:latin typeface="+mn-lt"/>
              <a:ea typeface="+mn-ea"/>
              <a:cs typeface="+mn-cs"/>
            </a:rPr>
            <a:t>                                  ($) - RHM.DE - Rheinmetal AG (-$76.41 loss)</a:t>
          </a:r>
        </a:p>
        <a:p>
          <a:endParaRPr lang="en-IE" sz="800">
            <a:solidFill>
              <a:schemeClr val="dk1"/>
            </a:solidFill>
            <a:effectLst/>
            <a:latin typeface="+mn-lt"/>
            <a:ea typeface="+mn-ea"/>
            <a:cs typeface="+mn-cs"/>
          </a:endParaRPr>
        </a:p>
        <a:p>
          <a:r>
            <a:rPr lang="en-IE" sz="800" u="sng">
              <a:solidFill>
                <a:schemeClr val="dk1"/>
              </a:solidFill>
              <a:effectLst/>
              <a:latin typeface="+mn-lt"/>
              <a:ea typeface="+mn-ea"/>
              <a:cs typeface="+mn-cs"/>
            </a:rPr>
            <a:t>Notable Events</a:t>
          </a:r>
        </a:p>
        <a:p>
          <a:r>
            <a:rPr lang="en-IE" sz="800" u="none">
              <a:solidFill>
                <a:schemeClr val="dk1"/>
              </a:solidFill>
              <a:effectLst/>
              <a:latin typeface="+mn-lt"/>
              <a:ea typeface="+mn-ea"/>
              <a:cs typeface="+mn-cs"/>
            </a:rPr>
            <a:t>- June 6th,</a:t>
          </a:r>
          <a:r>
            <a:rPr lang="en-IE" sz="800" u="none" baseline="0">
              <a:solidFill>
                <a:schemeClr val="dk1"/>
              </a:solidFill>
              <a:effectLst/>
              <a:latin typeface="+mn-lt"/>
              <a:ea typeface="+mn-ea"/>
              <a:cs typeface="+mn-cs"/>
            </a:rPr>
            <a:t> LA Protests.</a:t>
          </a:r>
        </a:p>
        <a:p>
          <a:r>
            <a:rPr lang="en-IE" sz="800" u="none" baseline="0">
              <a:solidFill>
                <a:schemeClr val="dk1"/>
              </a:solidFill>
              <a:effectLst/>
              <a:latin typeface="+mn-lt"/>
              <a:ea typeface="+mn-ea"/>
              <a:cs typeface="+mn-cs"/>
            </a:rPr>
            <a:t>- During the week Elon Musk made many comments on "X" regarding Donald Trump. Had a negative impact on TSLA, but has since began recovering.</a:t>
          </a:r>
        </a:p>
        <a:p>
          <a:r>
            <a:rPr lang="en-IE" sz="800" u="none" baseline="0">
              <a:solidFill>
                <a:schemeClr val="dk1"/>
              </a:solidFill>
              <a:effectLst/>
              <a:latin typeface="+mn-lt"/>
              <a:ea typeface="+mn-ea"/>
              <a:cs typeface="+mn-cs"/>
            </a:rPr>
            <a:t>- Tensions in Europe are increasing between the EU, Ukraine and Russia. </a:t>
          </a:r>
          <a:endParaRPr lang="en-IE" sz="800" u="sng">
            <a:solidFill>
              <a:schemeClr val="dk1"/>
            </a:solidFill>
            <a:effectLst/>
            <a:latin typeface="+mn-lt"/>
            <a:ea typeface="+mn-ea"/>
            <a:cs typeface="+mn-cs"/>
          </a:endParaRPr>
        </a:p>
        <a:p>
          <a:r>
            <a:rPr lang="en-IE" sz="800" u="none">
              <a:solidFill>
                <a:schemeClr val="dk1"/>
              </a:solidFill>
              <a:effectLst/>
              <a:latin typeface="+mn-lt"/>
              <a:ea typeface="+mn-ea"/>
              <a:cs typeface="+mn-cs"/>
            </a:rPr>
            <a:t>-</a:t>
          </a:r>
          <a:r>
            <a:rPr lang="en-IE" sz="800" u="none" baseline="0">
              <a:solidFill>
                <a:schemeClr val="dk1"/>
              </a:solidFill>
              <a:effectLst/>
              <a:latin typeface="+mn-lt"/>
              <a:ea typeface="+mn-ea"/>
              <a:cs typeface="+mn-cs"/>
            </a:rPr>
            <a:t> US-China trade talks take place in the near future</a:t>
          </a:r>
        </a:p>
        <a:p>
          <a:endParaRPr lang="en-IE" sz="800" u="none">
            <a:solidFill>
              <a:schemeClr val="dk1"/>
            </a:solidFill>
            <a:effectLst/>
            <a:latin typeface="+mn-lt"/>
            <a:ea typeface="+mn-ea"/>
            <a:cs typeface="+mn-cs"/>
          </a:endParaRPr>
        </a:p>
        <a:p>
          <a:r>
            <a:rPr lang="en-IE" sz="800" u="sng">
              <a:solidFill>
                <a:schemeClr val="dk1"/>
              </a:solidFill>
              <a:effectLst/>
              <a:latin typeface="+mn-lt"/>
              <a:ea typeface="+mn-ea"/>
              <a:cs typeface="+mn-cs"/>
            </a:rPr>
            <a:t>Effect</a:t>
          </a:r>
          <a:r>
            <a:rPr lang="en-IE" sz="800" u="sng" baseline="0">
              <a:solidFill>
                <a:schemeClr val="dk1"/>
              </a:solidFill>
              <a:effectLst/>
              <a:latin typeface="+mn-lt"/>
              <a:ea typeface="+mn-ea"/>
              <a:cs typeface="+mn-cs"/>
            </a:rPr>
            <a:t> on Portfolio</a:t>
          </a:r>
        </a:p>
        <a:p>
          <a:r>
            <a:rPr lang="en-IE" sz="800" u="none" baseline="0">
              <a:solidFill>
                <a:schemeClr val="dk1"/>
              </a:solidFill>
              <a:effectLst/>
              <a:latin typeface="+mn-lt"/>
              <a:ea typeface="+mn-ea"/>
              <a:cs typeface="+mn-cs"/>
            </a:rPr>
            <a:t>Overall a lot of growth, RHM.DE and SLNG are the only heavy losers.</a:t>
          </a:r>
        </a:p>
        <a:p>
          <a:r>
            <a:rPr lang="en-IE" sz="800" u="none" baseline="0">
              <a:solidFill>
                <a:schemeClr val="dk1"/>
              </a:solidFill>
              <a:effectLst/>
              <a:latin typeface="+mn-lt"/>
              <a:ea typeface="+mn-ea"/>
              <a:cs typeface="+mn-cs"/>
            </a:rPr>
            <a:t>Although RHM.DE has showed our biggest loss this week. We see that the overall EU industrials &amp; defense sector has grown (seen through the NATO.L). This indicates that interest is growing within this market with investors looking to diversify within, it also possibly indicates that RHM.DE was overbough over the previous weeks in comparison to its competitors, so there is better value elsewhere.</a:t>
          </a:r>
        </a:p>
        <a:p>
          <a:r>
            <a:rPr lang="en-IE" sz="800" u="none" baseline="0">
              <a:solidFill>
                <a:schemeClr val="dk1"/>
              </a:solidFill>
              <a:effectLst/>
              <a:latin typeface="+mn-lt"/>
              <a:ea typeface="+mn-ea"/>
              <a:cs typeface="+mn-cs"/>
            </a:rPr>
            <a:t>Consumer Cyclical sectors has seen growth(SBUX), stagnation(NKE) and decline(TSLA). Increased expected consumer spending within the retail sector, uncertainty over Chinese supply chains, and Elon Musk's comments about Donald Trump have led to each of these changes respectively.</a:t>
          </a:r>
        </a:p>
        <a:p>
          <a:r>
            <a:rPr lang="en-IE" sz="800" u="none" baseline="0">
              <a:solidFill>
                <a:schemeClr val="dk1"/>
              </a:solidFill>
              <a:effectLst/>
              <a:latin typeface="+mn-lt"/>
              <a:ea typeface="+mn-ea"/>
              <a:cs typeface="+mn-cs"/>
            </a:rPr>
            <a:t>Bitcoin has shown signs of further positive growth as some investors see an opportunity cost in buying BTC due to low forecasted interest rates in the US. Nonetheless it is a volatile asset, but we also see more rumours and news circulating that various governments across the world are considering holding reserves in BTC.</a:t>
          </a:r>
        </a:p>
        <a:p>
          <a:r>
            <a:rPr lang="en-IE" sz="800" u="none" baseline="0">
              <a:solidFill>
                <a:schemeClr val="dk1"/>
              </a:solidFill>
              <a:effectLst/>
              <a:latin typeface="+mn-lt"/>
              <a:ea typeface="+mn-ea"/>
              <a:cs typeface="+mn-cs"/>
            </a:rPr>
            <a:t>The energy sector seen positive growth, which is heavily reliant on the price of oil. EQNR is still attracting investments from its previous wind farm contracts. XOM is increasing in price in tandem to the market as a whole, with oil prices being a key player. SLNG on the other hand has seemed to be underperforming as of late, small cap companies, especially in the energy sector are very sensitive to market news. Investors are more attracted to companies that are treneding or who have more stability within the market. I will reconsider my holdings of SLNG over the next week.</a:t>
          </a:r>
        </a:p>
        <a:p>
          <a:r>
            <a:rPr lang="en-IE" sz="800" u="none" baseline="0">
              <a:solidFill>
                <a:schemeClr val="dk1"/>
              </a:solidFill>
              <a:effectLst/>
              <a:latin typeface="+mn-lt"/>
              <a:ea typeface="+mn-ea"/>
              <a:cs typeface="+mn-cs"/>
            </a:rPr>
            <a:t>After selling shares in GOOGL it performed well over the last week, with growth of ~3%., which is in line with other companies in this sector and those of the Technology sector. GOOGL has also been following similar growth patterns to NVDA over the last month, indicating that the growth potential behind technology and AI driven stocks may need to be considered. Must keep high awareness as this market can be volatile.</a:t>
          </a:r>
        </a:p>
        <a:p>
          <a:r>
            <a:rPr lang="en-IE" sz="800" u="none" baseline="0">
              <a:solidFill>
                <a:schemeClr val="dk1"/>
              </a:solidFill>
              <a:effectLst/>
              <a:latin typeface="+mn-lt"/>
              <a:ea typeface="+mn-ea"/>
              <a:cs typeface="+mn-cs"/>
            </a:rPr>
            <a:t>Financial sector growth has indicated that investors have begun feeling more secure investing in the US market due to news that issues with tariffs will be resolved in the near future, solidifying the safety of investing in the US stock market (BAC and V). BNP.PA also grew at a similar rate indicating that investors are being appealed by the EU market, whcih could be because tariffs on the EU were halted for another month recently. The US showing willingness to negotiate trade deals with countries has led to positive outlooks on investing in foreign markets.</a:t>
          </a:r>
        </a:p>
        <a:p>
          <a:r>
            <a:rPr lang="en-IE" sz="800" u="none" baseline="0">
              <a:solidFill>
                <a:schemeClr val="dk1"/>
              </a:solidFill>
              <a:effectLst/>
              <a:latin typeface="+mn-lt"/>
              <a:ea typeface="+mn-ea"/>
              <a:cs typeface="+mn-cs"/>
            </a:rPr>
            <a:t>European Consumer Defensive sector has also grown slightly, mainly due to the strengthening of the Euro and Pound.</a:t>
          </a:r>
        </a:p>
        <a:p>
          <a:r>
            <a:rPr lang="en-IE" sz="800" u="none" baseline="0">
              <a:solidFill>
                <a:schemeClr val="dk1"/>
              </a:solidFill>
              <a:effectLst/>
              <a:latin typeface="+mn-lt"/>
              <a:ea typeface="+mn-ea"/>
              <a:cs typeface="+mn-cs"/>
            </a:rPr>
            <a:t>REITs have stabilised from previous decline and then growth, mainly due to increased stabilisation of the US market as a whole. Although, if the LA riots begin to influence the rest of the US it could bring forward some losses as these REITs (PLD and VICI) rely on market stability. </a:t>
          </a:r>
        </a:p>
        <a:p>
          <a:endParaRPr lang="en-IE" sz="800" u="sng" baseline="0">
            <a:solidFill>
              <a:schemeClr val="dk1"/>
            </a:solidFill>
            <a:effectLst/>
            <a:latin typeface="+mn-lt"/>
            <a:ea typeface="+mn-ea"/>
            <a:cs typeface="+mn-cs"/>
          </a:endParaRPr>
        </a:p>
        <a:p>
          <a:r>
            <a:rPr lang="en-IE" sz="800" u="sng" baseline="0">
              <a:solidFill>
                <a:schemeClr val="dk1"/>
              </a:solidFill>
              <a:effectLst/>
              <a:latin typeface="+mn-lt"/>
              <a:ea typeface="+mn-ea"/>
              <a:cs typeface="+mn-cs"/>
            </a:rPr>
            <a:t>Transactions</a:t>
          </a:r>
        </a:p>
        <a:p>
          <a:r>
            <a:rPr lang="en-IE" sz="800" u="none" baseline="0">
              <a:solidFill>
                <a:schemeClr val="dk1"/>
              </a:solidFill>
              <a:effectLst/>
              <a:latin typeface="+mn-lt"/>
              <a:ea typeface="+mn-ea"/>
              <a:cs typeface="+mn-cs"/>
            </a:rPr>
            <a:t>Underperformance of RHM.DE - selling 0.4 shares </a:t>
          </a:r>
        </a:p>
        <a:p>
          <a:r>
            <a:rPr lang="en-IE" sz="800" u="none" baseline="0">
              <a:solidFill>
                <a:schemeClr val="dk1"/>
              </a:solidFill>
              <a:effectLst/>
              <a:latin typeface="+mn-lt"/>
              <a:ea typeface="+mn-ea"/>
              <a:cs typeface="+mn-cs"/>
            </a:rPr>
            <a:t>SBUX possibly overperforming - selling 30 shares</a:t>
          </a:r>
        </a:p>
        <a:p>
          <a:r>
            <a:rPr lang="en-IE" sz="800" u="none" baseline="0">
              <a:solidFill>
                <a:schemeClr val="dk1"/>
              </a:solidFill>
              <a:effectLst/>
              <a:latin typeface="+mn-lt"/>
              <a:ea typeface="+mn-ea"/>
              <a:cs typeface="+mn-cs"/>
            </a:rPr>
            <a:t>Brings the cash weight back to ~10% which is the ideal number for this portfolio.</a:t>
          </a:r>
        </a:p>
        <a:p>
          <a:r>
            <a:rPr lang="en-IE" sz="800" u="none" baseline="0">
              <a:solidFill>
                <a:schemeClr val="dk1"/>
              </a:solidFill>
              <a:effectLst/>
              <a:latin typeface="+mn-lt"/>
              <a:ea typeface="+mn-ea"/>
              <a:cs typeface="+mn-cs"/>
            </a:rPr>
            <a:t>~~</a:t>
          </a:r>
        </a:p>
        <a:p>
          <a:r>
            <a:rPr lang="en-IE" sz="800" b="0" i="0" u="none" strike="noStrike">
              <a:solidFill>
                <a:schemeClr val="dk1"/>
              </a:solidFill>
              <a:effectLst/>
              <a:latin typeface="+mn-lt"/>
              <a:ea typeface="+mn-ea"/>
              <a:cs typeface="+mn-cs"/>
            </a:rPr>
            <a:t>Sum of weight</a:t>
          </a:r>
          <a:r>
            <a:rPr lang="en-IE" sz="800" u="none"/>
            <a:t> </a:t>
          </a:r>
          <a:r>
            <a:rPr lang="en-IE" sz="800" b="0" i="0" u="none" strike="noStrike">
              <a:solidFill>
                <a:schemeClr val="dk1"/>
              </a:solidFill>
              <a:effectLst/>
              <a:latin typeface="+mn-lt"/>
              <a:ea typeface="+mn-ea"/>
              <a:cs typeface="+mn-cs"/>
            </a:rPr>
            <a:t> </a:t>
          </a:r>
          <a:r>
            <a:rPr lang="en-IE" sz="800" u="none"/>
            <a:t> </a:t>
          </a:r>
          <a:r>
            <a:rPr lang="en-IE" sz="800" b="0" i="0" u="none" strike="noStrike">
              <a:solidFill>
                <a:schemeClr val="dk1"/>
              </a:solidFill>
              <a:effectLst/>
              <a:latin typeface="+mn-lt"/>
              <a:ea typeface="+mn-ea"/>
              <a:cs typeface="+mn-cs"/>
            </a:rPr>
            <a:t>0.97703</a:t>
          </a:r>
          <a:r>
            <a:rPr lang="en-IE" sz="800" u="none"/>
            <a:t> </a:t>
          </a:r>
          <a:r>
            <a:rPr lang="en-IE" sz="800" b="0" i="0" u="none" strike="noStrike">
              <a:solidFill>
                <a:schemeClr val="dk1"/>
              </a:solidFill>
              <a:effectLst/>
              <a:latin typeface="+mn-lt"/>
              <a:ea typeface="+mn-ea"/>
              <a:cs typeface="+mn-cs"/>
            </a:rPr>
            <a:t>Portfolio Expected return</a:t>
          </a:r>
          <a:r>
            <a:rPr lang="en-IE" sz="800" u="none"/>
            <a:t> </a:t>
          </a:r>
          <a:r>
            <a:rPr lang="en-IE" sz="800" b="0" i="0" u="none" strike="noStrike">
              <a:solidFill>
                <a:schemeClr val="dk1"/>
              </a:solidFill>
              <a:effectLst/>
              <a:latin typeface="+mn-lt"/>
              <a:ea typeface="+mn-ea"/>
              <a:cs typeface="+mn-cs"/>
            </a:rPr>
            <a:t>14.47%</a:t>
          </a:r>
          <a:r>
            <a:rPr lang="en-IE" sz="800" u="none"/>
            <a:t> </a:t>
          </a:r>
        </a:p>
        <a:p>
          <a:r>
            <a:rPr lang="en-IE" sz="800" b="0" i="0" u="none" strike="noStrike">
              <a:solidFill>
                <a:schemeClr val="dk1"/>
              </a:solidFill>
              <a:effectLst/>
              <a:latin typeface="+mn-lt"/>
              <a:ea typeface="+mn-ea"/>
              <a:cs typeface="+mn-cs"/>
            </a:rPr>
            <a:t>Portfolio Standard Deviation</a:t>
          </a:r>
          <a:r>
            <a:rPr lang="en-IE" sz="800" u="none"/>
            <a:t> </a:t>
          </a:r>
          <a:r>
            <a:rPr lang="en-IE" sz="800" b="0" i="0" u="none" strike="noStrike">
              <a:solidFill>
                <a:schemeClr val="dk1"/>
              </a:solidFill>
              <a:effectLst/>
              <a:latin typeface="+mn-lt"/>
              <a:ea typeface="+mn-ea"/>
              <a:cs typeface="+mn-cs"/>
            </a:rPr>
            <a:t>9.29%</a:t>
          </a:r>
          <a:r>
            <a:rPr lang="en-IE" sz="800" u="none"/>
            <a:t> </a:t>
          </a:r>
          <a:r>
            <a:rPr lang="en-IE" sz="800" b="0" i="0" u="none" strike="noStrike">
              <a:solidFill>
                <a:schemeClr val="dk1"/>
              </a:solidFill>
              <a:effectLst/>
              <a:latin typeface="+mn-lt"/>
              <a:ea typeface="+mn-ea"/>
              <a:cs typeface="+mn-cs"/>
            </a:rPr>
            <a:t> </a:t>
          </a:r>
          <a:r>
            <a:rPr lang="en-IE" sz="800" u="none"/>
            <a:t> </a:t>
          </a:r>
          <a:r>
            <a:rPr lang="en-IE" sz="800" b="0" i="0" u="none" strike="noStrike">
              <a:solidFill>
                <a:schemeClr val="dk1"/>
              </a:solidFill>
              <a:effectLst/>
              <a:latin typeface="+mn-lt"/>
              <a:ea typeface="+mn-ea"/>
              <a:cs typeface="+mn-cs"/>
            </a:rPr>
            <a:t> </a:t>
          </a:r>
          <a:r>
            <a:rPr lang="en-IE" sz="800" u="none"/>
            <a:t> </a:t>
          </a:r>
          <a:r>
            <a:rPr lang="en-IE" sz="800" b="0" i="0" u="none" strike="noStrike">
              <a:solidFill>
                <a:schemeClr val="dk1"/>
              </a:solidFill>
              <a:effectLst/>
              <a:latin typeface="+mn-lt"/>
              <a:ea typeface="+mn-ea"/>
              <a:cs typeface="+mn-cs"/>
            </a:rPr>
            <a:t> </a:t>
          </a:r>
          <a:r>
            <a:rPr lang="en-IE" sz="800" u="none"/>
            <a:t> </a:t>
          </a:r>
          <a:r>
            <a:rPr lang="en-IE" sz="800" b="0" i="0" u="none" strike="noStrike">
              <a:solidFill>
                <a:schemeClr val="dk1"/>
              </a:solidFill>
              <a:effectLst/>
              <a:latin typeface="+mn-lt"/>
              <a:ea typeface="+mn-ea"/>
              <a:cs typeface="+mn-cs"/>
            </a:rPr>
            <a:t> </a:t>
          </a:r>
          <a:r>
            <a:rPr lang="en-IE" sz="800" u="none"/>
            <a:t> </a:t>
          </a:r>
          <a:r>
            <a:rPr lang="en-IE" sz="800" b="1" i="0" u="none" strike="noStrike">
              <a:solidFill>
                <a:schemeClr val="dk1"/>
              </a:solidFill>
              <a:effectLst/>
              <a:latin typeface="+mn-lt"/>
              <a:ea typeface="+mn-ea"/>
              <a:cs typeface="+mn-cs"/>
            </a:rPr>
            <a:t>Expected Sharp ratio</a:t>
          </a:r>
          <a:r>
            <a:rPr lang="en-IE" sz="800" u="none"/>
            <a:t> </a:t>
          </a:r>
          <a:r>
            <a:rPr lang="en-IE" sz="800" b="0" i="0" u="none" strike="noStrike">
              <a:solidFill>
                <a:schemeClr val="dk1"/>
              </a:solidFill>
              <a:effectLst/>
              <a:latin typeface="+mn-lt"/>
              <a:ea typeface="+mn-ea"/>
              <a:cs typeface="+mn-cs"/>
            </a:rPr>
            <a:t> </a:t>
          </a:r>
          <a:r>
            <a:rPr lang="en-IE" sz="800" u="none"/>
            <a:t> </a:t>
          </a:r>
          <a:r>
            <a:rPr lang="en-IE" sz="800" b="0" i="0" u="none" strike="noStrike">
              <a:solidFill>
                <a:schemeClr val="dk1"/>
              </a:solidFill>
              <a:effectLst/>
              <a:latin typeface="+mn-lt"/>
              <a:ea typeface="+mn-ea"/>
              <a:cs typeface="+mn-cs"/>
            </a:rPr>
            <a:t>1.10</a:t>
          </a:r>
        </a:p>
        <a:p>
          <a:r>
            <a:rPr lang="en-IE" sz="800" b="0" i="0" u="none" strike="noStrike" baseline="0">
              <a:solidFill>
                <a:schemeClr val="dk1"/>
              </a:solidFill>
              <a:effectLst/>
              <a:latin typeface="+mn-lt"/>
              <a:ea typeface="+mn-ea"/>
              <a:cs typeface="+mn-cs"/>
            </a:rPr>
            <a:t>~~</a:t>
          </a:r>
        </a:p>
        <a:p>
          <a:r>
            <a:rPr lang="en-IE" sz="800" b="0" i="0" u="none" strike="noStrike" baseline="0">
              <a:solidFill>
                <a:schemeClr val="dk1"/>
              </a:solidFill>
              <a:effectLst/>
              <a:latin typeface="+mn-lt"/>
              <a:ea typeface="+mn-ea"/>
              <a:cs typeface="+mn-cs"/>
            </a:rPr>
            <a:t>Sharpe ratio has decreased further from these transactions, I do feel as though these were logical trades that were needed to be done, holding RHM.DE after high returns in week 1 led me to miss out on profits that many gained from selling when it hit a high price. Learning from this I am doing this with SBUX. The rest of the portfolio has grown slightly so there should be minimal worry to selling.</a:t>
          </a:r>
        </a:p>
        <a:p>
          <a:r>
            <a:rPr lang="en-IE" sz="800" b="0" i="0" u="none" strike="noStrike" baseline="0">
              <a:solidFill>
                <a:schemeClr val="dk1"/>
              </a:solidFill>
              <a:effectLst/>
              <a:latin typeface="+mn-lt"/>
              <a:ea typeface="+mn-ea"/>
              <a:cs typeface="+mn-cs"/>
            </a:rPr>
            <a:t>From the Quarterly data we see that the expected return is 3.47% over 3 months. The portfolio has already grown 2.2% after 3 weeks indicating that it could outperform this if the portfolio keeps at this pace.</a:t>
          </a:r>
        </a:p>
        <a:p>
          <a:r>
            <a:rPr lang="en-IE" sz="800" b="0" i="0" u="none" strike="noStrike" baseline="0">
              <a:solidFill>
                <a:schemeClr val="dk1"/>
              </a:solidFill>
              <a:effectLst/>
              <a:latin typeface="+mn-lt"/>
              <a:ea typeface="+mn-ea"/>
              <a:cs typeface="+mn-cs"/>
            </a:rPr>
            <a:t>~~</a:t>
          </a:r>
        </a:p>
        <a:p>
          <a:r>
            <a:rPr lang="en-IE" sz="800" b="0" i="0" u="none" strike="noStrike" baseline="0">
              <a:solidFill>
                <a:schemeClr val="dk1"/>
              </a:solidFill>
              <a:effectLst/>
              <a:latin typeface="+mn-lt"/>
              <a:ea typeface="+mn-ea"/>
              <a:cs typeface="+mn-cs"/>
            </a:rPr>
            <a:t>VOO is up ~0.8% over this same period of time, indicating that the portfolio is currently doing well, the previous transactions that were made were benefiical in maintaining growth. </a:t>
          </a:r>
        </a:p>
        <a:p>
          <a:r>
            <a:rPr lang="en-IE" sz="800" b="0" i="0" u="none" strike="noStrike" baseline="0">
              <a:solidFill>
                <a:schemeClr val="dk1"/>
              </a:solidFill>
              <a:effectLst/>
              <a:latin typeface="+mn-lt"/>
              <a:ea typeface="+mn-ea"/>
              <a:cs typeface="+mn-cs"/>
            </a:rPr>
            <a:t>~~</a:t>
          </a:r>
        </a:p>
        <a:p>
          <a:r>
            <a:rPr lang="en-IE" sz="800" b="0" i="0" u="none" strike="noStrike" baseline="0">
              <a:solidFill>
                <a:schemeClr val="dk1"/>
              </a:solidFill>
              <a:effectLst/>
              <a:latin typeface="+mn-lt"/>
              <a:ea typeface="+mn-ea"/>
              <a:cs typeface="+mn-cs"/>
            </a:rPr>
            <a:t>Also needs to be noted that for the Sharpe Ratios, only 5 years of data is being used, if more data were to be used we would get a more accurate values in the Sharpe ratio, do even though a value of 1.10 may not be ideal. Increasing  the Sharpe ratio may cause the portfolio to work less efficiently. If no transactions would have taken place the portfolio would be up a little over 1%.</a:t>
          </a:r>
        </a:p>
        <a:p>
          <a:r>
            <a:rPr lang="en-IE" sz="800" b="0" i="0" u="none" strike="noStrike" baseline="0">
              <a:solidFill>
                <a:schemeClr val="dk1"/>
              </a:solidFill>
              <a:effectLst/>
              <a:latin typeface="+mn-lt"/>
              <a:ea typeface="+mn-ea"/>
              <a:cs typeface="+mn-cs"/>
            </a:rPr>
            <a:t>My target standard deviation is met and annualised expected return has been exceeded. Minimal correlation between assets has been met, ideally I would diversify into more markets on an international level, but larger datasets would be needed. </a:t>
          </a:r>
        </a:p>
        <a:p>
          <a:endParaRPr lang="en-IE" sz="800" b="0" i="0" u="none" strike="noStrike" baseline="0">
            <a:solidFill>
              <a:schemeClr val="dk1"/>
            </a:solidFill>
            <a:effectLst/>
            <a:latin typeface="+mn-lt"/>
            <a:ea typeface="+mn-ea"/>
            <a:cs typeface="+mn-cs"/>
          </a:endParaRPr>
        </a:p>
        <a:p>
          <a:r>
            <a:rPr lang="en-IE" sz="800" b="0" i="0" u="none" strike="noStrike" baseline="0">
              <a:solidFill>
                <a:schemeClr val="dk1"/>
              </a:solidFill>
              <a:effectLst/>
              <a:latin typeface="+mn-lt"/>
              <a:ea typeface="+mn-ea"/>
              <a:cs typeface="+mn-cs"/>
            </a:rPr>
            <a:t>*My laptop is starting to struggle with adding more data and constantly increasing data samples, I tried to add more data to my data sheets but excel crashed*</a:t>
          </a:r>
        </a:p>
        <a:p>
          <a:endParaRPr lang="en-IE" sz="800" u="none" baseline="0">
            <a:solidFill>
              <a:schemeClr val="dk1"/>
            </a:solidFill>
            <a:effectLst/>
            <a:latin typeface="+mn-lt"/>
            <a:ea typeface="+mn-ea"/>
            <a:cs typeface="+mn-cs"/>
          </a:endParaRPr>
        </a:p>
        <a:p>
          <a:endParaRPr lang="en-IE" sz="800" u="sng">
            <a:effectLst/>
          </a:endParaRPr>
        </a:p>
      </xdr:txBody>
    </xdr:sp>
    <xdr:clientData/>
  </xdr:twoCellAnchor>
  <xdr:twoCellAnchor>
    <xdr:from>
      <xdr:col>36</xdr:col>
      <xdr:colOff>0</xdr:colOff>
      <xdr:row>1</xdr:row>
      <xdr:rowOff>0</xdr:rowOff>
    </xdr:from>
    <xdr:to>
      <xdr:col>44</xdr:col>
      <xdr:colOff>9525</xdr:colOff>
      <xdr:row>23</xdr:row>
      <xdr:rowOff>0</xdr:rowOff>
    </xdr:to>
    <xdr:sp macro="" textlink="">
      <xdr:nvSpPr>
        <xdr:cNvPr id="6" name="TextBox 5">
          <a:extLst>
            <a:ext uri="{FF2B5EF4-FFF2-40B4-BE49-F238E27FC236}">
              <a16:creationId xmlns:a16="http://schemas.microsoft.com/office/drawing/2014/main" id="{C712D689-8BB5-42B2-D5A3-3393D55C00D1}"/>
            </a:ext>
          </a:extLst>
        </xdr:cNvPr>
        <xdr:cNvSpPr txBox="1"/>
      </xdr:nvSpPr>
      <xdr:spPr>
        <a:xfrm>
          <a:off x="24537798" y="192248"/>
          <a:ext cx="5462369" cy="44216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E" sz="800">
              <a:solidFill>
                <a:schemeClr val="dk1"/>
              </a:solidFill>
              <a:effectLst/>
              <a:latin typeface="+mn-lt"/>
              <a:ea typeface="+mn-ea"/>
              <a:cs typeface="+mn-cs"/>
            </a:rPr>
            <a:t>- Portfolio Value - $102,512.62 (+0.41%)</a:t>
          </a:r>
          <a:endParaRPr lang="en-IE" sz="800">
            <a:effectLst/>
          </a:endParaRPr>
        </a:p>
        <a:p>
          <a:r>
            <a:rPr lang="en-IE" sz="800">
              <a:solidFill>
                <a:schemeClr val="dk1"/>
              </a:solidFill>
              <a:effectLst/>
              <a:latin typeface="+mn-lt"/>
              <a:ea typeface="+mn-ea"/>
              <a:cs typeface="+mn-cs"/>
            </a:rPr>
            <a:t>- Top Performer     (%) -</a:t>
          </a:r>
          <a:r>
            <a:rPr lang="en-IE" sz="800" baseline="0">
              <a:solidFill>
                <a:schemeClr val="dk1"/>
              </a:solidFill>
              <a:effectLst/>
              <a:latin typeface="+mn-lt"/>
              <a:ea typeface="+mn-ea"/>
              <a:cs typeface="+mn-cs"/>
            </a:rPr>
            <a:t> EQNR - Equinor ASA (+11.82%)</a:t>
          </a:r>
        </a:p>
        <a:p>
          <a:r>
            <a:rPr lang="en-IE" sz="800">
              <a:solidFill>
                <a:schemeClr val="dk1"/>
              </a:solidFill>
              <a:effectLst/>
              <a:latin typeface="+mn-lt"/>
              <a:ea typeface="+mn-ea"/>
              <a:cs typeface="+mn-cs"/>
            </a:rPr>
            <a:t>                                  ($) - XOM - Exxon Mobil Corporation (+$337.95)</a:t>
          </a:r>
        </a:p>
        <a:p>
          <a:r>
            <a:rPr lang="en-IE" sz="800">
              <a:solidFill>
                <a:schemeClr val="dk1"/>
              </a:solidFill>
              <a:effectLst/>
              <a:latin typeface="+mn-lt"/>
              <a:ea typeface="+mn-ea"/>
              <a:cs typeface="+mn-cs"/>
            </a:rPr>
            <a:t>- Worst Performer (%) - SLNG - Stabilis Solutions, Inc. (-9.02%)</a:t>
          </a:r>
        </a:p>
        <a:p>
          <a:r>
            <a:rPr lang="en-IE" sz="800">
              <a:solidFill>
                <a:schemeClr val="dk1"/>
              </a:solidFill>
              <a:effectLst/>
              <a:latin typeface="+mn-lt"/>
              <a:ea typeface="+mn-ea"/>
              <a:cs typeface="+mn-cs"/>
            </a:rPr>
            <a:t>                                  ($) - PLD - Prologis - (-$151.92)</a:t>
          </a:r>
        </a:p>
        <a:p>
          <a:endParaRPr lang="en-IE" sz="800" u="none">
            <a:solidFill>
              <a:schemeClr val="dk1"/>
            </a:solidFill>
            <a:effectLst/>
            <a:latin typeface="+mn-lt"/>
            <a:ea typeface="+mn-ea"/>
            <a:cs typeface="+mn-cs"/>
          </a:endParaRPr>
        </a:p>
        <a:p>
          <a:r>
            <a:rPr lang="en-IE" sz="800" u="sng">
              <a:solidFill>
                <a:schemeClr val="dk1"/>
              </a:solidFill>
              <a:effectLst/>
              <a:latin typeface="+mn-lt"/>
              <a:ea typeface="+mn-ea"/>
              <a:cs typeface="+mn-cs"/>
            </a:rPr>
            <a:t>Notable</a:t>
          </a:r>
          <a:r>
            <a:rPr lang="en-IE" sz="800" u="sng" baseline="0">
              <a:solidFill>
                <a:schemeClr val="dk1"/>
              </a:solidFill>
              <a:effectLst/>
              <a:latin typeface="+mn-lt"/>
              <a:ea typeface="+mn-ea"/>
              <a:cs typeface="+mn-cs"/>
            </a:rPr>
            <a:t> Events</a:t>
          </a:r>
        </a:p>
        <a:p>
          <a:r>
            <a:rPr lang="en-IE" sz="800" u="none" baseline="0">
              <a:solidFill>
                <a:schemeClr val="dk1"/>
              </a:solidFill>
              <a:effectLst/>
              <a:latin typeface="+mn-lt"/>
              <a:ea typeface="+mn-ea"/>
              <a:cs typeface="+mn-cs"/>
            </a:rPr>
            <a:t>- Iran Israel war has begun, oil prices increased by &gt;10%.</a:t>
          </a:r>
        </a:p>
        <a:p>
          <a:r>
            <a:rPr lang="en-IE" sz="800" u="none" baseline="0">
              <a:solidFill>
                <a:schemeClr val="dk1"/>
              </a:solidFill>
              <a:effectLst/>
              <a:latin typeface="+mn-lt"/>
              <a:ea typeface="+mn-ea"/>
              <a:cs typeface="+mn-cs"/>
            </a:rPr>
            <a:t>- US China trade talks were held and positive agreements were made for trade in certain sectors.</a:t>
          </a:r>
        </a:p>
        <a:p>
          <a:r>
            <a:rPr lang="en-IE" sz="800" u="none" baseline="0">
              <a:solidFill>
                <a:schemeClr val="dk1"/>
              </a:solidFill>
              <a:effectLst/>
              <a:latin typeface="+mn-lt"/>
              <a:ea typeface="+mn-ea"/>
              <a:cs typeface="+mn-cs"/>
            </a:rPr>
            <a:t>- Market was dominated by movement in the technology and energy sectors.</a:t>
          </a:r>
        </a:p>
        <a:p>
          <a:endParaRPr lang="en-IE" sz="800" u="none" baseline="0">
            <a:solidFill>
              <a:schemeClr val="dk1"/>
            </a:solidFill>
            <a:effectLst/>
            <a:latin typeface="+mn-lt"/>
            <a:ea typeface="+mn-ea"/>
            <a:cs typeface="+mn-cs"/>
          </a:endParaRPr>
        </a:p>
        <a:p>
          <a:r>
            <a:rPr lang="en-IE" sz="800" u="sng" baseline="0">
              <a:solidFill>
                <a:schemeClr val="dk1"/>
              </a:solidFill>
              <a:effectLst/>
              <a:latin typeface="+mn-lt"/>
              <a:ea typeface="+mn-ea"/>
              <a:cs typeface="+mn-cs"/>
            </a:rPr>
            <a:t>Effect on Portfolio</a:t>
          </a:r>
        </a:p>
        <a:p>
          <a:pPr marL="0" marR="0" lvl="0" indent="0" defTabSz="914400" eaLnBrk="1" fontAlgn="auto" latinLnBrk="0" hangingPunct="1">
            <a:lnSpc>
              <a:spcPct val="100000"/>
            </a:lnSpc>
            <a:spcBef>
              <a:spcPts val="0"/>
            </a:spcBef>
            <a:spcAft>
              <a:spcPts val="0"/>
            </a:spcAft>
            <a:buClrTx/>
            <a:buSzTx/>
            <a:buFontTx/>
            <a:buNone/>
            <a:tabLst/>
            <a:defRPr/>
          </a:pPr>
          <a:r>
            <a:rPr lang="en-IE" sz="800" u="none" baseline="0">
              <a:solidFill>
                <a:schemeClr val="dk1"/>
              </a:solidFill>
              <a:effectLst/>
              <a:latin typeface="+mn-lt"/>
              <a:ea typeface="+mn-ea"/>
              <a:cs typeface="+mn-cs"/>
            </a:rPr>
            <a:t>EQNR and XOM both benefitted greatly from the tensions in the Middle East, due to more interest in renewable energy and oil prices respectively. This same effect was not seen in SLNG though, being the worst performer in the portfolio by %, due to them being a relatively smaller company. This sensitivity of smaller companies to the news can be clearly seen here, although I do believe that SLNG may now be somewhat undervalued.</a:t>
          </a:r>
        </a:p>
        <a:p>
          <a:pPr marL="0" marR="0" lvl="0" indent="0" defTabSz="914400" eaLnBrk="1" fontAlgn="auto" latinLnBrk="0" hangingPunct="1">
            <a:lnSpc>
              <a:spcPct val="100000"/>
            </a:lnSpc>
            <a:spcBef>
              <a:spcPts val="0"/>
            </a:spcBef>
            <a:spcAft>
              <a:spcPts val="0"/>
            </a:spcAft>
            <a:buClrTx/>
            <a:buSzTx/>
            <a:buFontTx/>
            <a:buNone/>
            <a:tabLst/>
            <a:defRPr/>
          </a:pPr>
          <a:r>
            <a:rPr lang="en-IE" sz="800" u="none" baseline="0">
              <a:solidFill>
                <a:schemeClr val="dk1"/>
              </a:solidFill>
              <a:effectLst/>
              <a:latin typeface="+mn-lt"/>
              <a:ea typeface="+mn-ea"/>
              <a:cs typeface="+mn-cs"/>
            </a:rPr>
            <a:t>BAC and V, both associated with the financial market, were both down this week, possibly due to increased strain on the US economy and overall uncertainty regarding the decisions made on the world platform by the US. Converesely BNP.PA grew ever so slightly, indicating that diversifying into the European finanicial sector could be more beneficial.</a:t>
          </a:r>
        </a:p>
        <a:p>
          <a:pPr marL="0" marR="0" lvl="0" indent="0" defTabSz="914400" eaLnBrk="1" fontAlgn="auto" latinLnBrk="0" hangingPunct="1">
            <a:lnSpc>
              <a:spcPct val="100000"/>
            </a:lnSpc>
            <a:spcBef>
              <a:spcPts val="0"/>
            </a:spcBef>
            <a:spcAft>
              <a:spcPts val="0"/>
            </a:spcAft>
            <a:buClrTx/>
            <a:buSzTx/>
            <a:buFontTx/>
            <a:buNone/>
            <a:tabLst/>
            <a:defRPr/>
          </a:pPr>
          <a:r>
            <a:rPr lang="en-IE" sz="800" u="none" baseline="0">
              <a:solidFill>
                <a:schemeClr val="dk1"/>
              </a:solidFill>
              <a:effectLst/>
              <a:latin typeface="+mn-lt"/>
              <a:ea typeface="+mn-ea"/>
              <a:cs typeface="+mn-cs"/>
            </a:rPr>
            <a:t>BTC lowered in value this week but this can be expected from such a volatile asset after coming from a high of &gt;$110,000, more businesses are showing willingness to commit to BTC purchasing schemes which indicates that more potential growth could be on the horizon.</a:t>
          </a:r>
        </a:p>
        <a:p>
          <a:pPr marL="0" marR="0" lvl="0" indent="0" defTabSz="914400" eaLnBrk="1" fontAlgn="auto" latinLnBrk="0" hangingPunct="1">
            <a:lnSpc>
              <a:spcPct val="100000"/>
            </a:lnSpc>
            <a:spcBef>
              <a:spcPts val="0"/>
            </a:spcBef>
            <a:spcAft>
              <a:spcPts val="0"/>
            </a:spcAft>
            <a:buClrTx/>
            <a:buSzTx/>
            <a:buFontTx/>
            <a:buNone/>
            <a:tabLst/>
            <a:defRPr/>
          </a:pPr>
          <a:r>
            <a:rPr lang="en-IE" sz="800" u="none" baseline="0">
              <a:solidFill>
                <a:schemeClr val="dk1"/>
              </a:solidFill>
              <a:effectLst/>
              <a:latin typeface="+mn-lt"/>
              <a:ea typeface="+mn-ea"/>
              <a:cs typeface="+mn-cs"/>
            </a:rPr>
            <a:t>No other asset class has really faced much movement during this week.</a:t>
          </a:r>
        </a:p>
        <a:p>
          <a:pPr marL="0" marR="0" lvl="0" indent="0" defTabSz="914400" eaLnBrk="1" fontAlgn="auto" latinLnBrk="0" hangingPunct="1">
            <a:lnSpc>
              <a:spcPct val="100000"/>
            </a:lnSpc>
            <a:spcBef>
              <a:spcPts val="0"/>
            </a:spcBef>
            <a:spcAft>
              <a:spcPts val="0"/>
            </a:spcAft>
            <a:buClrTx/>
            <a:buSzTx/>
            <a:buFontTx/>
            <a:buNone/>
            <a:tabLst/>
            <a:defRPr/>
          </a:pPr>
          <a:r>
            <a:rPr lang="en-IE" sz="800" u="none" baseline="0">
              <a:solidFill>
                <a:schemeClr val="dk1"/>
              </a:solidFill>
              <a:effectLst/>
              <a:latin typeface="+mn-lt"/>
              <a:ea typeface="+mn-ea"/>
              <a:cs typeface="+mn-cs"/>
            </a:rPr>
            <a:t>EUR and GBP have been continuously strengthening against the USD.</a:t>
          </a:r>
        </a:p>
        <a:p>
          <a:pPr marL="0" marR="0" lvl="0" indent="0" defTabSz="914400" eaLnBrk="1" fontAlgn="auto" latinLnBrk="0" hangingPunct="1">
            <a:lnSpc>
              <a:spcPct val="100000"/>
            </a:lnSpc>
            <a:spcBef>
              <a:spcPts val="0"/>
            </a:spcBef>
            <a:spcAft>
              <a:spcPts val="0"/>
            </a:spcAft>
            <a:buClrTx/>
            <a:buSzTx/>
            <a:buFontTx/>
            <a:buNone/>
            <a:tabLst/>
            <a:defRPr/>
          </a:pPr>
          <a:r>
            <a:rPr lang="en-IE" sz="800" u="none" baseline="0">
              <a:solidFill>
                <a:schemeClr val="dk1"/>
              </a:solidFill>
              <a:effectLst/>
              <a:latin typeface="+mn-lt"/>
              <a:ea typeface="+mn-ea"/>
              <a:cs typeface="+mn-cs"/>
            </a:rPr>
            <a:t>Possible expectations of growth in stocks and ETFs associated with defense and machinery, if the war escalates further. But must keep aware that with the US cutting a lot of military spending recently, US based companies might not feel the same growth as EU based ones. </a:t>
          </a:r>
        </a:p>
        <a:p>
          <a:pPr marL="0" marR="0" lvl="0" indent="0" defTabSz="914400" eaLnBrk="1" fontAlgn="auto" latinLnBrk="0" hangingPunct="1">
            <a:lnSpc>
              <a:spcPct val="100000"/>
            </a:lnSpc>
            <a:spcBef>
              <a:spcPts val="0"/>
            </a:spcBef>
            <a:spcAft>
              <a:spcPts val="0"/>
            </a:spcAft>
            <a:buClrTx/>
            <a:buSzTx/>
            <a:buFontTx/>
            <a:buNone/>
            <a:tabLst/>
            <a:defRPr/>
          </a:pPr>
          <a:r>
            <a:rPr lang="en-IE" sz="800" u="none" baseline="0">
              <a:solidFill>
                <a:schemeClr val="dk1"/>
              </a:solidFill>
              <a:effectLst/>
              <a:latin typeface="+mn-lt"/>
              <a:ea typeface="+mn-ea"/>
              <a:cs typeface="+mn-cs"/>
            </a:rPr>
            <a:t>No transactions made this week, with overall satisfaction of the portfolio. maintaining an average ~0.6% growth every week.</a:t>
          </a:r>
        </a:p>
        <a:p>
          <a:pPr marL="0" marR="0" lvl="0" indent="0" defTabSz="914400" eaLnBrk="1" fontAlgn="auto" latinLnBrk="0" hangingPunct="1">
            <a:lnSpc>
              <a:spcPct val="100000"/>
            </a:lnSpc>
            <a:spcBef>
              <a:spcPts val="0"/>
            </a:spcBef>
            <a:spcAft>
              <a:spcPts val="0"/>
            </a:spcAft>
            <a:buClrTx/>
            <a:buSzTx/>
            <a:buFontTx/>
            <a:buNone/>
            <a:tabLst/>
            <a:defRPr/>
          </a:pPr>
          <a:r>
            <a:rPr lang="en-IE" sz="800" u="none" baseline="0">
              <a:solidFill>
                <a:schemeClr val="dk1"/>
              </a:solidFill>
              <a:effectLst/>
              <a:latin typeface="+mn-lt"/>
              <a:ea typeface="+mn-ea"/>
              <a:cs typeface="+mn-cs"/>
            </a:rPr>
            <a:t>Observations must be made about the war in the middle east and involvement from other nations. Increased uncertainty in many US-based assets</a:t>
          </a:r>
        </a:p>
        <a:p>
          <a:pPr marL="0" marR="0" lvl="0" indent="0" defTabSz="914400" eaLnBrk="1" fontAlgn="auto" latinLnBrk="0" hangingPunct="1">
            <a:lnSpc>
              <a:spcPct val="100000"/>
            </a:lnSpc>
            <a:spcBef>
              <a:spcPts val="0"/>
            </a:spcBef>
            <a:spcAft>
              <a:spcPts val="0"/>
            </a:spcAft>
            <a:buClrTx/>
            <a:buSzTx/>
            <a:buFontTx/>
            <a:buNone/>
            <a:tabLst/>
            <a:defRPr/>
          </a:pPr>
          <a:r>
            <a:rPr lang="en-IE" sz="800" u="none" baseline="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en-IE" sz="800" b="0" i="0" u="none" strike="noStrike">
              <a:solidFill>
                <a:schemeClr val="dk1"/>
              </a:solidFill>
              <a:effectLst/>
              <a:latin typeface="+mn-lt"/>
              <a:ea typeface="+mn-ea"/>
              <a:cs typeface="+mn-cs"/>
            </a:rPr>
            <a:t>Sum of weight</a:t>
          </a:r>
          <a:r>
            <a:rPr lang="en-IE" sz="800"/>
            <a:t> </a:t>
          </a:r>
          <a:r>
            <a:rPr lang="en-IE" sz="800" b="0" i="0" u="none" strike="noStrike">
              <a:solidFill>
                <a:schemeClr val="dk1"/>
              </a:solidFill>
              <a:effectLst/>
              <a:latin typeface="+mn-lt"/>
              <a:ea typeface="+mn-ea"/>
              <a:cs typeface="+mn-cs"/>
            </a:rPr>
            <a:t>0.98</a:t>
          </a:r>
          <a:r>
            <a:rPr lang="en-IE" sz="800"/>
            <a:t> </a:t>
          </a:r>
          <a:r>
            <a:rPr lang="en-IE" sz="800" b="0" i="0" u="none" strike="noStrike">
              <a:solidFill>
                <a:schemeClr val="dk1"/>
              </a:solidFill>
              <a:effectLst/>
              <a:latin typeface="+mn-lt"/>
              <a:ea typeface="+mn-ea"/>
              <a:cs typeface="+mn-cs"/>
            </a:rPr>
            <a:t>Portfolio Expected return</a:t>
          </a:r>
          <a:r>
            <a:rPr lang="en-IE" sz="800"/>
            <a:t> </a:t>
          </a:r>
          <a:r>
            <a:rPr lang="en-IE" sz="800" b="0" i="0" u="none" strike="noStrike">
              <a:solidFill>
                <a:schemeClr val="dk1"/>
              </a:solidFill>
              <a:effectLst/>
              <a:latin typeface="+mn-lt"/>
              <a:ea typeface="+mn-ea"/>
              <a:cs typeface="+mn-cs"/>
            </a:rPr>
            <a:t>14.44%</a:t>
          </a:r>
          <a:r>
            <a:rPr lang="en-IE" sz="800"/>
            <a:t> </a:t>
          </a:r>
          <a:endParaRPr lang="en-IE" sz="800" b="0" i="0" u="none" strike="noStrike">
            <a:solidFill>
              <a:schemeClr val="dk1"/>
            </a:solidFill>
            <a:effectLst/>
            <a:latin typeface="+mn-lt"/>
            <a:ea typeface="+mn-ea"/>
            <a:cs typeface="+mn-cs"/>
          </a:endParaRPr>
        </a:p>
        <a:p>
          <a:r>
            <a:rPr lang="en-IE" sz="800"/>
            <a:t> </a:t>
          </a:r>
          <a:r>
            <a:rPr lang="en-IE" sz="800" b="0" i="0" u="none" strike="noStrike">
              <a:solidFill>
                <a:schemeClr val="dk1"/>
              </a:solidFill>
              <a:effectLst/>
              <a:latin typeface="+mn-lt"/>
              <a:ea typeface="+mn-ea"/>
              <a:cs typeface="+mn-cs"/>
            </a:rPr>
            <a:t>Portfolio Standard Deviation</a:t>
          </a:r>
          <a:r>
            <a:rPr lang="en-IE" sz="800"/>
            <a:t> </a:t>
          </a:r>
          <a:r>
            <a:rPr lang="en-IE" sz="800" b="0" i="0" u="none" strike="noStrike">
              <a:solidFill>
                <a:schemeClr val="dk1"/>
              </a:solidFill>
              <a:effectLst/>
              <a:latin typeface="+mn-lt"/>
              <a:ea typeface="+mn-ea"/>
              <a:cs typeface="+mn-cs"/>
            </a:rPr>
            <a:t>9.04%</a:t>
          </a:r>
          <a:r>
            <a:rPr lang="en-IE" sz="800"/>
            <a:t> </a:t>
          </a:r>
          <a:r>
            <a:rPr lang="en-IE" sz="800" b="0" i="0" u="none" strike="noStrike">
              <a:solidFill>
                <a:schemeClr val="dk1"/>
              </a:solidFill>
              <a:effectLst/>
              <a:latin typeface="+mn-lt"/>
              <a:ea typeface="+mn-ea"/>
              <a:cs typeface="+mn-cs"/>
            </a:rPr>
            <a:t> </a:t>
          </a:r>
          <a:r>
            <a:rPr lang="en-IE" sz="800"/>
            <a:t> </a:t>
          </a:r>
          <a:r>
            <a:rPr lang="en-IE" sz="800" b="0" i="0" u="none" strike="noStrike">
              <a:solidFill>
                <a:schemeClr val="dk1"/>
              </a:solidFill>
              <a:effectLst/>
              <a:latin typeface="+mn-lt"/>
              <a:ea typeface="+mn-ea"/>
              <a:cs typeface="+mn-cs"/>
            </a:rPr>
            <a:t> </a:t>
          </a:r>
          <a:r>
            <a:rPr lang="en-IE" sz="800"/>
            <a:t> </a:t>
          </a:r>
          <a:r>
            <a:rPr lang="en-IE" sz="800" b="0" i="0" u="none" strike="noStrike">
              <a:solidFill>
                <a:schemeClr val="dk1"/>
              </a:solidFill>
              <a:effectLst/>
              <a:latin typeface="+mn-lt"/>
              <a:ea typeface="+mn-ea"/>
              <a:cs typeface="+mn-cs"/>
            </a:rPr>
            <a:t>Expected Sharp ratio </a:t>
          </a:r>
          <a:r>
            <a:rPr lang="en-IE" sz="800" b="0" i="0" u="none" strike="noStrike" baseline="0">
              <a:solidFill>
                <a:schemeClr val="dk1"/>
              </a:solidFill>
              <a:effectLst/>
              <a:latin typeface="+mn-lt"/>
              <a:ea typeface="+mn-ea"/>
              <a:cs typeface="+mn-cs"/>
            </a:rPr>
            <a:t>1.13</a:t>
          </a:r>
        </a:p>
        <a:p>
          <a:endParaRPr lang="en-IE" sz="800" b="0" i="0" u="none" strike="noStrike" baseline="0">
            <a:solidFill>
              <a:schemeClr val="dk1"/>
            </a:solidFill>
            <a:effectLst/>
            <a:latin typeface="+mn-lt"/>
            <a:ea typeface="+mn-ea"/>
            <a:cs typeface="+mn-cs"/>
          </a:endParaRPr>
        </a:p>
        <a:p>
          <a:r>
            <a:rPr lang="en-IE" sz="800" b="0" i="0" u="none" strike="noStrike" baseline="0">
              <a:solidFill>
                <a:schemeClr val="dk1"/>
              </a:solidFill>
              <a:effectLst/>
              <a:latin typeface="+mn-lt"/>
              <a:ea typeface="+mn-ea"/>
              <a:cs typeface="+mn-cs"/>
            </a:rPr>
            <a:t>Increased sharpe ratio indicates that the portfolio is moving positively.</a:t>
          </a:r>
          <a:endParaRPr lang="en-IE" sz="800" u="sng"/>
        </a:p>
      </xdr:txBody>
    </xdr:sp>
    <xdr:clientData/>
  </xdr:twoCellAnchor>
  <xdr:twoCellAnchor>
    <xdr:from>
      <xdr:col>44</xdr:col>
      <xdr:colOff>676275</xdr:colOff>
      <xdr:row>1</xdr:row>
      <xdr:rowOff>9523</xdr:rowOff>
    </xdr:from>
    <xdr:to>
      <xdr:col>53</xdr:col>
      <xdr:colOff>9525</xdr:colOff>
      <xdr:row>41</xdr:row>
      <xdr:rowOff>122340</xdr:rowOff>
    </xdr:to>
    <xdr:sp macro="" textlink="">
      <xdr:nvSpPr>
        <xdr:cNvPr id="7" name="TextBox 6">
          <a:extLst>
            <a:ext uri="{FF2B5EF4-FFF2-40B4-BE49-F238E27FC236}">
              <a16:creationId xmlns:a16="http://schemas.microsoft.com/office/drawing/2014/main" id="{E4BB9A68-3D63-8F8C-6481-3B1CB5E3E74C}"/>
            </a:ext>
          </a:extLst>
        </xdr:cNvPr>
        <xdr:cNvSpPr txBox="1"/>
      </xdr:nvSpPr>
      <xdr:spPr>
        <a:xfrm>
          <a:off x="30666917" y="201771"/>
          <a:ext cx="5467700" cy="81522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E" sz="800">
              <a:solidFill>
                <a:schemeClr val="dk1"/>
              </a:solidFill>
              <a:effectLst/>
              <a:latin typeface="+mn-lt"/>
              <a:ea typeface="+mn-ea"/>
              <a:cs typeface="+mn-cs"/>
            </a:rPr>
            <a:t>- Portfolio Value - $101,618.67 (-0.87%)</a:t>
          </a:r>
          <a:endParaRPr lang="en-IE" sz="800">
            <a:effectLst/>
          </a:endParaRPr>
        </a:p>
        <a:p>
          <a:r>
            <a:rPr lang="en-IE" sz="800">
              <a:solidFill>
                <a:schemeClr val="dk1"/>
              </a:solidFill>
              <a:effectLst/>
              <a:latin typeface="+mn-lt"/>
              <a:ea typeface="+mn-ea"/>
              <a:cs typeface="+mn-cs"/>
            </a:rPr>
            <a:t>- Top Performer     (%) -</a:t>
          </a:r>
          <a:r>
            <a:rPr lang="en-IE" sz="800" baseline="0">
              <a:solidFill>
                <a:schemeClr val="dk1"/>
              </a:solidFill>
              <a:effectLst/>
              <a:latin typeface="+mn-lt"/>
              <a:ea typeface="+mn-ea"/>
              <a:cs typeface="+mn-cs"/>
            </a:rPr>
            <a:t> </a:t>
          </a:r>
          <a:r>
            <a:rPr lang="en-IE" sz="800">
              <a:solidFill>
                <a:schemeClr val="dk1"/>
              </a:solidFill>
              <a:effectLst/>
              <a:latin typeface="+mn-lt"/>
              <a:ea typeface="+mn-ea"/>
              <a:cs typeface="+mn-cs"/>
            </a:rPr>
            <a:t>TSLA - Tesla, Inc. </a:t>
          </a:r>
          <a:r>
            <a:rPr lang="en-IE" sz="800" baseline="0">
              <a:solidFill>
                <a:schemeClr val="dk1"/>
              </a:solidFill>
              <a:effectLst/>
              <a:latin typeface="+mn-lt"/>
              <a:ea typeface="+mn-ea"/>
              <a:cs typeface="+mn-cs"/>
            </a:rPr>
            <a:t>(+5.94%)</a:t>
          </a:r>
          <a:endParaRPr lang="en-IE" sz="800">
            <a:effectLst/>
          </a:endParaRPr>
        </a:p>
        <a:p>
          <a:r>
            <a:rPr lang="en-IE" sz="800">
              <a:solidFill>
                <a:schemeClr val="dk1"/>
              </a:solidFill>
              <a:effectLst/>
              <a:latin typeface="+mn-lt"/>
              <a:ea typeface="+mn-ea"/>
              <a:cs typeface="+mn-cs"/>
            </a:rPr>
            <a:t>                                  ($) - BAC</a:t>
          </a:r>
          <a:r>
            <a:rPr lang="en-IE" sz="800" baseline="0">
              <a:solidFill>
                <a:schemeClr val="dk1"/>
              </a:solidFill>
              <a:effectLst/>
              <a:latin typeface="+mn-lt"/>
              <a:ea typeface="+mn-ea"/>
              <a:cs typeface="+mn-cs"/>
            </a:rPr>
            <a:t> - Bank of America </a:t>
          </a:r>
          <a:r>
            <a:rPr lang="en-IE" sz="800">
              <a:solidFill>
                <a:schemeClr val="dk1"/>
              </a:solidFill>
              <a:effectLst/>
              <a:latin typeface="+mn-lt"/>
              <a:ea typeface="+mn-ea"/>
              <a:cs typeface="+mn-cs"/>
            </a:rPr>
            <a:t>Corporation (+$62.37)</a:t>
          </a:r>
          <a:endParaRPr lang="en-IE" sz="800">
            <a:effectLst/>
          </a:endParaRPr>
        </a:p>
        <a:p>
          <a:r>
            <a:rPr lang="en-IE" sz="800">
              <a:solidFill>
                <a:schemeClr val="dk1"/>
              </a:solidFill>
              <a:effectLst/>
              <a:latin typeface="+mn-lt"/>
              <a:ea typeface="+mn-ea"/>
              <a:cs typeface="+mn-cs"/>
            </a:rPr>
            <a:t>- Worst Performer (%) - GOOGL - Alphabet Inc.. (-6.55%)</a:t>
          </a:r>
          <a:endParaRPr lang="en-IE" sz="800">
            <a:effectLst/>
          </a:endParaRPr>
        </a:p>
        <a:p>
          <a:r>
            <a:rPr lang="en-IE" sz="800">
              <a:solidFill>
                <a:schemeClr val="dk1"/>
              </a:solidFill>
              <a:effectLst/>
              <a:latin typeface="+mn-lt"/>
              <a:ea typeface="+mn-ea"/>
              <a:cs typeface="+mn-cs"/>
            </a:rPr>
            <a:t>                                  ($) - BNP.PA</a:t>
          </a:r>
          <a:r>
            <a:rPr lang="en-IE" sz="800" baseline="0">
              <a:solidFill>
                <a:schemeClr val="dk1"/>
              </a:solidFill>
              <a:effectLst/>
              <a:latin typeface="+mn-lt"/>
              <a:ea typeface="+mn-ea"/>
              <a:cs typeface="+mn-cs"/>
            </a:rPr>
            <a:t> - BNP Paribas SA</a:t>
          </a:r>
          <a:r>
            <a:rPr lang="en-IE" sz="800">
              <a:solidFill>
                <a:schemeClr val="dk1"/>
              </a:solidFill>
              <a:effectLst/>
              <a:latin typeface="+mn-lt"/>
              <a:ea typeface="+mn-ea"/>
              <a:cs typeface="+mn-cs"/>
            </a:rPr>
            <a:t> - (-$275.80)</a:t>
          </a:r>
          <a:endParaRPr lang="en-IE" sz="800">
            <a:effectLst/>
          </a:endParaRPr>
        </a:p>
        <a:p>
          <a:endParaRPr lang="en-IE" sz="1100"/>
        </a:p>
        <a:p>
          <a:r>
            <a:rPr lang="en-IE" sz="800" u="sng"/>
            <a:t>Notable Events</a:t>
          </a:r>
        </a:p>
        <a:p>
          <a:r>
            <a:rPr lang="en-IE" sz="800" u="none"/>
            <a:t>- The main thing that happened this week was the escalation of war in the Middle</a:t>
          </a:r>
          <a:r>
            <a:rPr lang="en-IE" sz="800" u="none" baseline="0"/>
            <a:t> East, at the beginning of this week the war begun and oil and gold prices increased, but by the end of the week a ceasefire seemingly has taken place. This caused oil and gold prices to fall back down. With the Middle East being unstable, and the involvement of USA, there has been some sceptisim in the US stock market. </a:t>
          </a:r>
        </a:p>
        <a:p>
          <a:r>
            <a:rPr lang="en-IE" sz="800" u="none" baseline="0"/>
            <a:t>- More countries and companies are beginning to set plans for holding BTC reserves, which shows that there could be great long term future returns for this asset.</a:t>
          </a:r>
        </a:p>
        <a:p>
          <a:endParaRPr lang="en-IE" sz="800" u="none" baseline="0"/>
        </a:p>
        <a:p>
          <a:r>
            <a:rPr lang="en-IE" sz="800" u="sng" baseline="0"/>
            <a:t>Effect on Portfolio</a:t>
          </a:r>
        </a:p>
        <a:p>
          <a:r>
            <a:rPr lang="en-IE" sz="800" u="none" baseline="0"/>
            <a:t>This week has been the worst performance so far.</a:t>
          </a:r>
        </a:p>
        <a:p>
          <a:r>
            <a:rPr lang="en-IE" sz="800" u="none" baseline="0"/>
            <a:t>Tech stocks overall heavily underperformed this week.</a:t>
          </a:r>
        </a:p>
        <a:p>
          <a:r>
            <a:rPr lang="en-IE" sz="800" u="none" baseline="0"/>
            <a:t>WIth uncertainty with how long this war in the Middle East will actually last, the enrgy sector seen a loss this week.</a:t>
          </a:r>
        </a:p>
        <a:p>
          <a:r>
            <a:rPr lang="en-IE" sz="800" u="none" baseline="0"/>
            <a:t>BAC was one of the only stocks that had a good performance this week, largely due to the easing of tensions and possible end to the war in the Middle East.</a:t>
          </a:r>
        </a:p>
        <a:p>
          <a:r>
            <a:rPr lang="en-IE" sz="800" u="none" baseline="0"/>
            <a:t>V and GOOGL both have some influence in the tech industry so they both felt a loss, possibly from this.</a:t>
          </a:r>
        </a:p>
        <a:p>
          <a:r>
            <a:rPr lang="en-IE" sz="800" u="none" baseline="0"/>
            <a:t>V is also driven by consumer spending and this week theres been a seemingly downward turn on consumer expenditure.</a:t>
          </a:r>
        </a:p>
        <a:p>
          <a:r>
            <a:rPr lang="en-IE" sz="800" u="none" baseline="0"/>
            <a:t>Overall anything linked to technology and defense felt a negative effect.</a:t>
          </a:r>
        </a:p>
        <a:p>
          <a:r>
            <a:rPr lang="en-IE" sz="800" u="none" baseline="0"/>
            <a:t>~</a:t>
          </a:r>
        </a:p>
        <a:p>
          <a:r>
            <a:rPr lang="en-IE" sz="800" u="none" baseline="0"/>
            <a:t>After the lecture this week I became more aware that an over exposure to any one asset can be negative if continuous portfolio growth is wanted. Visually looking at the portfolio, assets based on the consumer market may not have enough exposure. PLD may be overexposed. American financial assets may be underexposed.</a:t>
          </a:r>
        </a:p>
        <a:p>
          <a:r>
            <a:rPr lang="en-IE" sz="800" u="none" baseline="0"/>
            <a:t>From the lecture I also gathered that exposure to niche markets like the European defense industry is quite beneficial as it provides a platform for stable growth.</a:t>
          </a:r>
        </a:p>
        <a:p>
          <a:r>
            <a:rPr lang="en-IE" sz="800" u="none" baseline="0"/>
            <a:t>~</a:t>
          </a:r>
        </a:p>
        <a:p>
          <a:r>
            <a:rPr lang="en-IE" sz="800" u="none" baseline="0"/>
            <a:t>Many of the assets in my portfolio have their earnings call coming up within the next month, which will surely lead to heavy fluctuation. The first asset that has an earnings call is NKE. NKE has seemingly hit a slump as of late when looking at the stock price, but it is still one of the most influential brands that exists today, so its presence will most likely not disappear. NKE stock historically has a very strong reaction to earnings calls, whether that be good or bad.</a:t>
          </a:r>
        </a:p>
        <a:p>
          <a:r>
            <a:rPr lang="en-IE" sz="800" u="none" baseline="0"/>
            <a:t>~</a:t>
          </a:r>
        </a:p>
        <a:p>
          <a:r>
            <a:rPr lang="en-IE" sz="800" u="none" baseline="0"/>
            <a:t>I've also realised the additions that I made to the portfolio a few weeks ago seem to have negatively affected the portfolio hugely with heavy losses. </a:t>
          </a:r>
        </a:p>
        <a:p>
          <a:r>
            <a:rPr lang="en-IE" sz="800" u="none" baseline="0"/>
            <a:t>~</a:t>
          </a:r>
        </a:p>
        <a:p>
          <a:r>
            <a:rPr lang="en-IE" sz="800" u="none" baseline="0"/>
            <a:t>I considered shorting BTC, but fees for cryptocurrency transfers are quite high in real life so I feel that would be too much of a shortcut to take.</a:t>
          </a:r>
        </a:p>
        <a:p>
          <a:r>
            <a:rPr lang="en-IE" sz="800" u="none" baseline="0"/>
            <a:t>~</a:t>
          </a:r>
        </a:p>
        <a:p>
          <a:r>
            <a:rPr lang="en-IE" sz="800" u="none" baseline="0"/>
            <a:t>The sharpe ratio will be heavily effected with the increased allocation in any of the sectors that I want to increase allocation to.</a:t>
          </a:r>
        </a:p>
        <a:p>
          <a:r>
            <a:rPr lang="en-IE" sz="800" u="none" baseline="0"/>
            <a:t>Sharpe Ratio before :</a:t>
          </a:r>
        </a:p>
        <a:p>
          <a:r>
            <a:rPr lang="en-IE" sz="800" b="0" i="0" u="none" strike="noStrike">
              <a:solidFill>
                <a:schemeClr val="dk1"/>
              </a:solidFill>
              <a:effectLst/>
              <a:latin typeface="+mn-lt"/>
              <a:ea typeface="+mn-ea"/>
              <a:cs typeface="+mn-cs"/>
            </a:rPr>
            <a:t>Sum of weight</a:t>
          </a:r>
          <a:r>
            <a:rPr lang="en-IE" sz="800" b="0"/>
            <a:t> </a:t>
          </a:r>
          <a:r>
            <a:rPr lang="en-IE" sz="800" b="0" i="0" u="none" strike="noStrike">
              <a:solidFill>
                <a:schemeClr val="dk1"/>
              </a:solidFill>
              <a:effectLst/>
              <a:latin typeface="+mn-lt"/>
              <a:ea typeface="+mn-ea"/>
              <a:cs typeface="+mn-cs"/>
            </a:rPr>
            <a:t> </a:t>
          </a:r>
          <a:r>
            <a:rPr lang="en-IE" sz="800" b="0"/>
            <a:t> </a:t>
          </a:r>
          <a:r>
            <a:rPr lang="en-IE" sz="800" b="0" i="0" u="none" strike="noStrike">
              <a:solidFill>
                <a:schemeClr val="dk1"/>
              </a:solidFill>
              <a:effectLst/>
              <a:latin typeface="+mn-lt"/>
              <a:ea typeface="+mn-ea"/>
              <a:cs typeface="+mn-cs"/>
            </a:rPr>
            <a:t>0.97658</a:t>
          </a:r>
          <a:r>
            <a:rPr lang="en-IE" sz="800" b="0"/>
            <a:t>                             </a:t>
          </a:r>
          <a:r>
            <a:rPr lang="en-IE" sz="800" b="0" i="0" u="none" strike="noStrike">
              <a:solidFill>
                <a:schemeClr val="dk1"/>
              </a:solidFill>
              <a:effectLst/>
              <a:latin typeface="+mn-lt"/>
              <a:ea typeface="+mn-ea"/>
              <a:cs typeface="+mn-cs"/>
            </a:rPr>
            <a:t>Portfolio Expected return</a:t>
          </a:r>
          <a:r>
            <a:rPr lang="en-IE" sz="800" b="0"/>
            <a:t> </a:t>
          </a:r>
          <a:r>
            <a:rPr lang="en-IE" sz="800" b="0" i="0" u="none" strike="noStrike">
              <a:solidFill>
                <a:schemeClr val="dk1"/>
              </a:solidFill>
              <a:effectLst/>
              <a:latin typeface="+mn-lt"/>
              <a:ea typeface="+mn-ea"/>
              <a:cs typeface="+mn-cs"/>
            </a:rPr>
            <a:t>14.38%</a:t>
          </a:r>
          <a:r>
            <a:rPr lang="en-IE" sz="800" b="0"/>
            <a:t> </a:t>
          </a:r>
        </a:p>
        <a:p>
          <a:r>
            <a:rPr lang="en-IE" sz="800" b="0" i="0" u="none" strike="noStrike">
              <a:solidFill>
                <a:schemeClr val="dk1"/>
              </a:solidFill>
              <a:effectLst/>
              <a:latin typeface="+mn-lt"/>
              <a:ea typeface="+mn-ea"/>
              <a:cs typeface="+mn-cs"/>
            </a:rPr>
            <a:t>Portfolio Standard Deviation</a:t>
          </a:r>
          <a:r>
            <a:rPr lang="en-IE" sz="800" b="0"/>
            <a:t> </a:t>
          </a:r>
          <a:r>
            <a:rPr lang="en-IE" sz="800" b="0" i="0" u="none" strike="noStrike">
              <a:solidFill>
                <a:schemeClr val="dk1"/>
              </a:solidFill>
              <a:effectLst/>
              <a:latin typeface="+mn-lt"/>
              <a:ea typeface="+mn-ea"/>
              <a:cs typeface="+mn-cs"/>
            </a:rPr>
            <a:t>9.08%</a:t>
          </a:r>
          <a:r>
            <a:rPr lang="en-IE" sz="800" b="0"/>
            <a:t> </a:t>
          </a:r>
          <a:r>
            <a:rPr lang="en-IE" sz="800" b="0" i="0" u="none" strike="noStrike">
              <a:solidFill>
                <a:schemeClr val="dk1"/>
              </a:solidFill>
              <a:effectLst/>
              <a:latin typeface="+mn-lt"/>
              <a:ea typeface="+mn-ea"/>
              <a:cs typeface="+mn-cs"/>
            </a:rPr>
            <a:t> </a:t>
          </a:r>
          <a:r>
            <a:rPr lang="en-IE" sz="800" b="0"/>
            <a:t> </a:t>
          </a:r>
          <a:r>
            <a:rPr lang="en-IE" sz="800" b="0" i="0" u="none" strike="noStrike">
              <a:solidFill>
                <a:schemeClr val="dk1"/>
              </a:solidFill>
              <a:effectLst/>
              <a:latin typeface="+mn-lt"/>
              <a:ea typeface="+mn-ea"/>
              <a:cs typeface="+mn-cs"/>
            </a:rPr>
            <a:t> </a:t>
          </a:r>
          <a:r>
            <a:rPr lang="en-IE" sz="800" b="0"/>
            <a:t> </a:t>
          </a:r>
          <a:r>
            <a:rPr lang="en-IE" sz="800" b="0" i="0" u="none" strike="noStrike">
              <a:solidFill>
                <a:schemeClr val="dk1"/>
              </a:solidFill>
              <a:effectLst/>
              <a:latin typeface="+mn-lt"/>
              <a:ea typeface="+mn-ea"/>
              <a:cs typeface="+mn-cs"/>
            </a:rPr>
            <a:t> </a:t>
          </a:r>
          <a:r>
            <a:rPr lang="en-IE" sz="800" b="0"/>
            <a:t> </a:t>
          </a:r>
          <a:r>
            <a:rPr lang="en-IE" sz="800" b="0" i="0" u="none" strike="noStrike">
              <a:solidFill>
                <a:schemeClr val="dk1"/>
              </a:solidFill>
              <a:effectLst/>
              <a:latin typeface="+mn-lt"/>
              <a:ea typeface="+mn-ea"/>
              <a:cs typeface="+mn-cs"/>
            </a:rPr>
            <a:t> </a:t>
          </a:r>
          <a:r>
            <a:rPr lang="en-IE" sz="800" b="0"/>
            <a:t> </a:t>
          </a:r>
          <a:r>
            <a:rPr lang="en-IE" sz="800" b="0" i="0" u="none" strike="noStrike">
              <a:solidFill>
                <a:schemeClr val="dk1"/>
              </a:solidFill>
              <a:effectLst/>
              <a:latin typeface="+mn-lt"/>
              <a:ea typeface="+mn-ea"/>
              <a:cs typeface="+mn-cs"/>
            </a:rPr>
            <a:t>Expected Sharp ratio</a:t>
          </a:r>
          <a:r>
            <a:rPr lang="en-IE" sz="800" b="0"/>
            <a:t> </a:t>
          </a:r>
          <a:r>
            <a:rPr lang="en-IE" sz="800" b="0" i="0" u="none" strike="noStrike">
              <a:solidFill>
                <a:schemeClr val="dk1"/>
              </a:solidFill>
              <a:effectLst/>
              <a:latin typeface="+mn-lt"/>
              <a:ea typeface="+mn-ea"/>
              <a:cs typeface="+mn-cs"/>
            </a:rPr>
            <a:t> </a:t>
          </a:r>
          <a:r>
            <a:rPr lang="en-IE" sz="800" b="0"/>
            <a:t> </a:t>
          </a:r>
          <a:r>
            <a:rPr lang="en-IE" sz="800" b="0" i="0" u="none" strike="noStrike">
              <a:solidFill>
                <a:schemeClr val="dk1"/>
              </a:solidFill>
              <a:effectLst/>
              <a:latin typeface="+mn-lt"/>
              <a:ea typeface="+mn-ea"/>
              <a:cs typeface="+mn-cs"/>
            </a:rPr>
            <a:t>1.12</a:t>
          </a:r>
          <a:r>
            <a:rPr lang="en-IE" sz="800" b="0"/>
            <a:t> </a:t>
          </a:r>
          <a:endParaRPr lang="en-IE" sz="800" b="0" u="none" baseline="0"/>
        </a:p>
        <a:p>
          <a:endParaRPr lang="en-IE" sz="800" b="0" u="none" baseline="0"/>
        </a:p>
        <a:p>
          <a:r>
            <a:rPr lang="en-IE" sz="800" b="0" u="none" baseline="0"/>
            <a:t>Sharpe Ratio after :</a:t>
          </a:r>
        </a:p>
        <a:p>
          <a:r>
            <a:rPr lang="en-IE" sz="800" b="0" i="0" u="none" strike="noStrike">
              <a:solidFill>
                <a:schemeClr val="dk1"/>
              </a:solidFill>
              <a:effectLst/>
              <a:latin typeface="+mn-lt"/>
              <a:ea typeface="+mn-ea"/>
              <a:cs typeface="+mn-cs"/>
            </a:rPr>
            <a:t>Sum of weight</a:t>
          </a:r>
          <a:r>
            <a:rPr lang="en-IE" sz="800" b="0"/>
            <a:t> </a:t>
          </a:r>
          <a:r>
            <a:rPr lang="en-IE" sz="800" b="0" i="0" u="none" strike="noStrike">
              <a:solidFill>
                <a:schemeClr val="dk1"/>
              </a:solidFill>
              <a:effectLst/>
              <a:latin typeface="+mn-lt"/>
              <a:ea typeface="+mn-ea"/>
              <a:cs typeface="+mn-cs"/>
            </a:rPr>
            <a:t> </a:t>
          </a:r>
          <a:r>
            <a:rPr lang="en-IE" sz="800" b="0"/>
            <a:t> </a:t>
          </a:r>
          <a:r>
            <a:rPr lang="en-IE" sz="800" b="0" i="0" u="none" strike="noStrike">
              <a:solidFill>
                <a:schemeClr val="dk1"/>
              </a:solidFill>
              <a:effectLst/>
              <a:latin typeface="+mn-lt"/>
              <a:ea typeface="+mn-ea"/>
              <a:cs typeface="+mn-cs"/>
            </a:rPr>
            <a:t>0.97740</a:t>
          </a:r>
          <a:r>
            <a:rPr lang="en-IE" sz="800" b="0"/>
            <a:t>                               </a:t>
          </a:r>
          <a:r>
            <a:rPr lang="en-IE" sz="800" b="0" i="0" u="none" strike="noStrike">
              <a:solidFill>
                <a:schemeClr val="dk1"/>
              </a:solidFill>
              <a:effectLst/>
              <a:latin typeface="+mn-lt"/>
              <a:ea typeface="+mn-ea"/>
              <a:cs typeface="+mn-cs"/>
            </a:rPr>
            <a:t>Portfolio Expected return</a:t>
          </a:r>
          <a:r>
            <a:rPr lang="en-IE" sz="800" b="0"/>
            <a:t> </a:t>
          </a:r>
          <a:r>
            <a:rPr lang="en-IE" sz="800" b="0" i="0" u="none" strike="noStrike">
              <a:solidFill>
                <a:schemeClr val="dk1"/>
              </a:solidFill>
              <a:effectLst/>
              <a:latin typeface="+mn-lt"/>
              <a:ea typeface="+mn-ea"/>
              <a:cs typeface="+mn-cs"/>
            </a:rPr>
            <a:t>16.03%</a:t>
          </a:r>
          <a:r>
            <a:rPr lang="en-IE" sz="800" b="0"/>
            <a:t> </a:t>
          </a:r>
        </a:p>
        <a:p>
          <a:r>
            <a:rPr lang="en-IE" sz="800" b="0" i="0" u="none" strike="noStrike">
              <a:solidFill>
                <a:schemeClr val="dk1"/>
              </a:solidFill>
              <a:effectLst/>
              <a:latin typeface="+mn-lt"/>
              <a:ea typeface="+mn-ea"/>
              <a:cs typeface="+mn-cs"/>
            </a:rPr>
            <a:t>Portfolio Standard Deviation</a:t>
          </a:r>
          <a:r>
            <a:rPr lang="en-IE" sz="800" b="0"/>
            <a:t> </a:t>
          </a:r>
          <a:r>
            <a:rPr lang="en-IE" sz="800" b="0" i="0" u="none" strike="noStrike">
              <a:solidFill>
                <a:schemeClr val="dk1"/>
              </a:solidFill>
              <a:effectLst/>
              <a:latin typeface="+mn-lt"/>
              <a:ea typeface="+mn-ea"/>
              <a:cs typeface="+mn-cs"/>
            </a:rPr>
            <a:t>10.93%</a:t>
          </a:r>
          <a:r>
            <a:rPr lang="en-IE" sz="800" b="0"/>
            <a:t> </a:t>
          </a:r>
          <a:r>
            <a:rPr lang="en-IE" sz="800" b="0" i="0" u="none" strike="noStrike">
              <a:solidFill>
                <a:schemeClr val="dk1"/>
              </a:solidFill>
              <a:effectLst/>
              <a:latin typeface="+mn-lt"/>
              <a:ea typeface="+mn-ea"/>
              <a:cs typeface="+mn-cs"/>
            </a:rPr>
            <a:t> </a:t>
          </a:r>
          <a:r>
            <a:rPr lang="en-IE" sz="800" b="0"/>
            <a:t> </a:t>
          </a:r>
          <a:r>
            <a:rPr lang="en-IE" sz="800" b="0" i="0" u="none" strike="noStrike">
              <a:solidFill>
                <a:schemeClr val="dk1"/>
              </a:solidFill>
              <a:effectLst/>
              <a:latin typeface="+mn-lt"/>
              <a:ea typeface="+mn-ea"/>
              <a:cs typeface="+mn-cs"/>
            </a:rPr>
            <a:t> </a:t>
          </a:r>
          <a:r>
            <a:rPr lang="en-IE" sz="800" b="0"/>
            <a:t> </a:t>
          </a:r>
          <a:r>
            <a:rPr lang="en-IE" sz="800" b="0" i="0" u="none" strike="noStrike">
              <a:solidFill>
                <a:schemeClr val="dk1"/>
              </a:solidFill>
              <a:effectLst/>
              <a:latin typeface="+mn-lt"/>
              <a:ea typeface="+mn-ea"/>
              <a:cs typeface="+mn-cs"/>
            </a:rPr>
            <a:t> </a:t>
          </a:r>
          <a:r>
            <a:rPr lang="en-IE" sz="800" b="0"/>
            <a:t> </a:t>
          </a:r>
          <a:r>
            <a:rPr lang="en-IE" sz="800" b="0" i="0" u="none" strike="noStrike">
              <a:solidFill>
                <a:schemeClr val="dk1"/>
              </a:solidFill>
              <a:effectLst/>
              <a:latin typeface="+mn-lt"/>
              <a:ea typeface="+mn-ea"/>
              <a:cs typeface="+mn-cs"/>
            </a:rPr>
            <a:t> </a:t>
          </a:r>
          <a:r>
            <a:rPr lang="en-IE" sz="800" b="0"/>
            <a:t> </a:t>
          </a:r>
          <a:r>
            <a:rPr lang="en-IE" sz="800" b="0" i="0" u="none" strike="noStrike">
              <a:solidFill>
                <a:schemeClr val="dk1"/>
              </a:solidFill>
              <a:effectLst/>
              <a:latin typeface="+mn-lt"/>
              <a:ea typeface="+mn-ea"/>
              <a:cs typeface="+mn-cs"/>
            </a:rPr>
            <a:t>Expected Sharp ratio</a:t>
          </a:r>
          <a:r>
            <a:rPr lang="en-IE" sz="800" b="0"/>
            <a:t> </a:t>
          </a:r>
          <a:r>
            <a:rPr lang="en-IE" sz="800" b="0" i="0" u="none" strike="noStrike">
              <a:solidFill>
                <a:schemeClr val="dk1"/>
              </a:solidFill>
              <a:effectLst/>
              <a:latin typeface="+mn-lt"/>
              <a:ea typeface="+mn-ea"/>
              <a:cs typeface="+mn-cs"/>
            </a:rPr>
            <a:t> </a:t>
          </a:r>
          <a:r>
            <a:rPr lang="en-IE" sz="800" b="0"/>
            <a:t> </a:t>
          </a:r>
          <a:r>
            <a:rPr lang="en-IE" sz="800" b="0" i="0" u="none" strike="noStrike">
              <a:solidFill>
                <a:schemeClr val="dk1"/>
              </a:solidFill>
              <a:effectLst/>
              <a:latin typeface="+mn-lt"/>
              <a:ea typeface="+mn-ea"/>
              <a:cs typeface="+mn-cs"/>
            </a:rPr>
            <a:t>1.08</a:t>
          </a:r>
          <a:r>
            <a:rPr lang="en-IE" sz="800" b="0"/>
            <a:t> </a:t>
          </a:r>
        </a:p>
        <a:p>
          <a:r>
            <a:rPr lang="en-IE" sz="800" u="sng" baseline="0"/>
            <a:t>Transactions </a:t>
          </a:r>
        </a:p>
        <a:p>
          <a:r>
            <a:rPr lang="en-IE" sz="800" u="none" baseline="0"/>
            <a:t>The basis of these transactions comes from the removal of overweighted assets that have been performing negatively (PLD), and the creation of a more balanced portfolio. The only issue now is that having a 40% weight on stocks is quite risky. The standard deviation sits at just under 11% and the Sharpe ratio has decreased to 1.08.</a:t>
          </a:r>
        </a:p>
        <a:p>
          <a:r>
            <a:rPr lang="en-IE" sz="800" u="none" baseline="0"/>
            <a:t>Sold PLD - underperformance.</a:t>
          </a:r>
        </a:p>
        <a:p>
          <a:r>
            <a:rPr lang="en-IE" sz="800" u="none" baseline="0"/>
            <a:t>Bought NKE, V, RR.L, SBUX and VOO. </a:t>
          </a:r>
        </a:p>
        <a:p>
          <a:r>
            <a:rPr lang="en-IE" sz="800" u="none" baseline="0"/>
            <a:t>The addition of more VOO is to balance the portfolio more on a more stable asset.</a:t>
          </a:r>
        </a:p>
        <a:p>
          <a:r>
            <a:rPr lang="en-IE" sz="800" u="none" baseline="0"/>
            <a:t>NKE, V, RR.L and SBUX are all added as there is potential for growth in each case. RR.L through new contracts with the UK and EU for defense. NKE, V and SBUX have the potential of growth through more consumer expenditure. NKE has the potential to drop further or increase its stock price, this is heavily depending on the result of their earnings call. </a:t>
          </a:r>
        </a:p>
        <a:p>
          <a:r>
            <a:rPr lang="en-IE" sz="800" u="none" baseline="0"/>
            <a:t>~~</a:t>
          </a:r>
        </a:p>
        <a:p>
          <a:r>
            <a:rPr lang="en-IE" sz="800" u="none" baseline="0"/>
            <a:t>The addition of more European defense based stocks might have put too much of a weight on this specific sector, but there is a lot of potential for growth here. </a:t>
          </a:r>
        </a:p>
        <a:p>
          <a:endParaRPr lang="en-IE" sz="800" u="none" baseline="0"/>
        </a:p>
      </xdr:txBody>
    </xdr:sp>
    <xdr:clientData/>
  </xdr:twoCellAnchor>
  <xdr:twoCellAnchor>
    <xdr:from>
      <xdr:col>54</xdr:col>
      <xdr:colOff>0</xdr:colOff>
      <xdr:row>1</xdr:row>
      <xdr:rowOff>3254</xdr:rowOff>
    </xdr:from>
    <xdr:to>
      <xdr:col>61</xdr:col>
      <xdr:colOff>676275</xdr:colOff>
      <xdr:row>27</xdr:row>
      <xdr:rowOff>8903</xdr:rowOff>
    </xdr:to>
    <xdr:sp macro="" textlink="">
      <xdr:nvSpPr>
        <xdr:cNvPr id="8" name="TextBox 7">
          <a:extLst>
            <a:ext uri="{FF2B5EF4-FFF2-40B4-BE49-F238E27FC236}">
              <a16:creationId xmlns:a16="http://schemas.microsoft.com/office/drawing/2014/main" id="{53DB6D29-DB64-9110-DD84-FED2A302A011}"/>
            </a:ext>
          </a:extLst>
        </xdr:cNvPr>
        <xdr:cNvSpPr txBox="1"/>
      </xdr:nvSpPr>
      <xdr:spPr>
        <a:xfrm>
          <a:off x="37013972" y="190193"/>
          <a:ext cx="5474382" cy="50975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E" sz="800">
              <a:solidFill>
                <a:schemeClr val="dk1"/>
              </a:solidFill>
              <a:effectLst/>
              <a:latin typeface="+mn-lt"/>
              <a:ea typeface="+mn-ea"/>
              <a:cs typeface="+mn-cs"/>
            </a:rPr>
            <a:t>- Portfolio Value - </a:t>
          </a:r>
          <a:r>
            <a:rPr lang="en-IE" sz="1100" b="0" i="0" u="none" strike="noStrike">
              <a:solidFill>
                <a:schemeClr val="dk1"/>
              </a:solidFill>
              <a:effectLst/>
              <a:latin typeface="+mn-lt"/>
              <a:ea typeface="+mn-ea"/>
              <a:cs typeface="+mn-cs"/>
            </a:rPr>
            <a:t> </a:t>
          </a:r>
          <a:r>
            <a:rPr lang="en-IE" sz="800" b="0" i="0" u="none" strike="noStrike">
              <a:solidFill>
                <a:schemeClr val="dk1"/>
              </a:solidFill>
              <a:effectLst/>
              <a:latin typeface="+mn-lt"/>
              <a:ea typeface="+mn-ea"/>
              <a:cs typeface="+mn-cs"/>
            </a:rPr>
            <a:t>$104,042.21 </a:t>
          </a:r>
          <a:r>
            <a:rPr lang="en-IE" sz="800">
              <a:solidFill>
                <a:schemeClr val="dk1"/>
              </a:solidFill>
              <a:effectLst/>
              <a:latin typeface="+mn-lt"/>
              <a:ea typeface="+mn-ea"/>
              <a:cs typeface="+mn-cs"/>
            </a:rPr>
            <a:t>(+2.38%)</a:t>
          </a:r>
          <a:endParaRPr lang="en-IE" sz="800">
            <a:effectLst/>
          </a:endParaRPr>
        </a:p>
        <a:p>
          <a:r>
            <a:rPr lang="en-IE" sz="800">
              <a:solidFill>
                <a:schemeClr val="dk1"/>
              </a:solidFill>
              <a:effectLst/>
              <a:latin typeface="+mn-lt"/>
              <a:ea typeface="+mn-ea"/>
              <a:cs typeface="+mn-cs"/>
            </a:rPr>
            <a:t>- Top Performer     (%) -</a:t>
          </a:r>
          <a:r>
            <a:rPr lang="en-IE" sz="800" baseline="0">
              <a:solidFill>
                <a:schemeClr val="dk1"/>
              </a:solidFill>
              <a:effectLst/>
              <a:latin typeface="+mn-lt"/>
              <a:ea typeface="+mn-ea"/>
              <a:cs typeface="+mn-cs"/>
            </a:rPr>
            <a:t>  NKE - Nike, Inc. - (+16.88%)</a:t>
          </a:r>
          <a:endParaRPr lang="en-IE" sz="800">
            <a:effectLst/>
          </a:endParaRPr>
        </a:p>
        <a:p>
          <a:r>
            <a:rPr lang="en-IE" sz="800">
              <a:solidFill>
                <a:schemeClr val="dk1"/>
              </a:solidFill>
              <a:effectLst/>
              <a:latin typeface="+mn-lt"/>
              <a:ea typeface="+mn-ea"/>
              <a:cs typeface="+mn-cs"/>
            </a:rPr>
            <a:t>                                  ($) - RR.L - Rolls-Royce Holdings plc - (+$564.30)</a:t>
          </a:r>
        </a:p>
        <a:p>
          <a:r>
            <a:rPr lang="en-IE" sz="800">
              <a:solidFill>
                <a:schemeClr val="dk1"/>
              </a:solidFill>
              <a:effectLst/>
              <a:latin typeface="+mn-lt"/>
              <a:ea typeface="+mn-ea"/>
              <a:cs typeface="+mn-cs"/>
            </a:rPr>
            <a:t>- Worst Performer (%) - TSLA - Tesla, Inc. - (-8.9%)</a:t>
          </a:r>
          <a:endParaRPr lang="en-IE" sz="800">
            <a:effectLst/>
          </a:endParaRPr>
        </a:p>
        <a:p>
          <a:r>
            <a:rPr lang="en-IE" sz="800">
              <a:solidFill>
                <a:schemeClr val="dk1"/>
              </a:solidFill>
              <a:effectLst/>
              <a:latin typeface="+mn-lt"/>
              <a:ea typeface="+mn-ea"/>
              <a:cs typeface="+mn-cs"/>
            </a:rPr>
            <a:t>                                  ($) - XOM - Exxon Mobil Corporation (-$177.30)</a:t>
          </a:r>
        </a:p>
        <a:p>
          <a:endParaRPr lang="en-IE" sz="800">
            <a:solidFill>
              <a:schemeClr val="dk1"/>
            </a:solidFill>
            <a:effectLst/>
            <a:latin typeface="+mn-lt"/>
            <a:ea typeface="+mn-ea"/>
            <a:cs typeface="+mn-cs"/>
          </a:endParaRPr>
        </a:p>
        <a:p>
          <a:r>
            <a:rPr lang="en-IE" sz="800" u="sng">
              <a:solidFill>
                <a:schemeClr val="dk1"/>
              </a:solidFill>
              <a:effectLst/>
              <a:latin typeface="+mn-lt"/>
              <a:ea typeface="+mn-ea"/>
              <a:cs typeface="+mn-cs"/>
            </a:rPr>
            <a:t>Notable</a:t>
          </a:r>
          <a:r>
            <a:rPr lang="en-IE" sz="800" u="sng" baseline="0">
              <a:solidFill>
                <a:schemeClr val="dk1"/>
              </a:solidFill>
              <a:effectLst/>
              <a:latin typeface="+mn-lt"/>
              <a:ea typeface="+mn-ea"/>
              <a:cs typeface="+mn-cs"/>
            </a:rPr>
            <a:t> Events</a:t>
          </a:r>
          <a:endParaRPr lang="en-IE" sz="800" u="none" baseline="0">
            <a:solidFill>
              <a:schemeClr val="dk1"/>
            </a:solidFill>
            <a:effectLst/>
            <a:latin typeface="+mn-lt"/>
            <a:ea typeface="+mn-ea"/>
            <a:cs typeface="+mn-cs"/>
          </a:endParaRPr>
        </a:p>
        <a:p>
          <a:r>
            <a:rPr lang="en-IE" sz="800" u="none" baseline="0">
              <a:solidFill>
                <a:schemeClr val="dk1"/>
              </a:solidFill>
              <a:effectLst/>
              <a:latin typeface="+mn-lt"/>
              <a:ea typeface="+mn-ea"/>
              <a:cs typeface="+mn-cs"/>
            </a:rPr>
            <a:t>- June 24th, NATO countries signed a declaration to reduce dependance on the US for defense purposes. And to allocate 5% of their GDP to defense expenditure by 2035.</a:t>
          </a:r>
        </a:p>
        <a:p>
          <a:r>
            <a:rPr lang="en-IE" sz="800" u="none" baseline="0">
              <a:solidFill>
                <a:schemeClr val="dk1"/>
              </a:solidFill>
              <a:effectLst/>
              <a:latin typeface="+mn-lt"/>
              <a:ea typeface="+mn-ea"/>
              <a:cs typeface="+mn-cs"/>
            </a:rPr>
            <a:t>- Canada and the US seemingly hit a negotiation roadblock when Canda would not remove their digital services tax, but this has since tax has since suspended and trade talks resumed.</a:t>
          </a:r>
        </a:p>
        <a:p>
          <a:r>
            <a:rPr lang="en-IE" sz="800" u="none" baseline="0">
              <a:solidFill>
                <a:schemeClr val="dk1"/>
              </a:solidFill>
              <a:effectLst/>
              <a:latin typeface="+mn-lt"/>
              <a:ea typeface="+mn-ea"/>
              <a:cs typeface="+mn-cs"/>
            </a:rPr>
            <a:t>- Tensions between the US and Japan are on the up, with trade talks not going anywhere between auto taxes on Japanese cars, and the Japanese PM did not attend the NATO summit due to disapproval over the push for 5% of GDP allocated to defense expenditure.</a:t>
          </a:r>
        </a:p>
        <a:p>
          <a:r>
            <a:rPr lang="en-IE" sz="800" u="none" baseline="0">
              <a:solidFill>
                <a:schemeClr val="dk1"/>
              </a:solidFill>
              <a:effectLst/>
              <a:latin typeface="+mn-lt"/>
              <a:ea typeface="+mn-ea"/>
              <a:cs typeface="+mn-cs"/>
            </a:rPr>
            <a:t>-TSLA stocks plummet due to Trump's threats over cutting subisidies to companies run by Musk.</a:t>
          </a:r>
        </a:p>
        <a:p>
          <a:r>
            <a:rPr lang="en-IE" sz="800" u="none" baseline="0">
              <a:solidFill>
                <a:schemeClr val="dk1"/>
              </a:solidFill>
              <a:effectLst/>
              <a:latin typeface="+mn-lt"/>
              <a:ea typeface="+mn-ea"/>
              <a:cs typeface="+mn-cs"/>
            </a:rPr>
            <a:t>- Top wall street analysts have upgraded NKE to Buy from Hold (as of 1st of July), due to the companies' new focus on e-commerce that will improve pricing.</a:t>
          </a:r>
        </a:p>
        <a:p>
          <a:r>
            <a:rPr lang="en-IE" sz="800" u="sng" baseline="0">
              <a:solidFill>
                <a:schemeClr val="dk1"/>
              </a:solidFill>
              <a:effectLst/>
              <a:latin typeface="+mn-lt"/>
              <a:ea typeface="+mn-ea"/>
              <a:cs typeface="+mn-cs"/>
            </a:rPr>
            <a:t>Effect on Portfolio</a:t>
          </a:r>
        </a:p>
        <a:p>
          <a:r>
            <a:rPr lang="en-IE" sz="800" u="none" baseline="0">
              <a:solidFill>
                <a:schemeClr val="dk1"/>
              </a:solidFill>
              <a:effectLst/>
              <a:latin typeface="+mn-lt"/>
              <a:ea typeface="+mn-ea"/>
              <a:cs typeface="+mn-cs"/>
            </a:rPr>
            <a:t>- All assets except consumer stocks(except NKE), energy stocks and REITs greatly improved this week. The opposite to last weeks scare where we faced the largest losses.</a:t>
          </a:r>
        </a:p>
        <a:p>
          <a:r>
            <a:rPr lang="en-IE" sz="800" u="none" baseline="0">
              <a:solidFill>
                <a:schemeClr val="dk1"/>
              </a:solidFill>
              <a:effectLst/>
              <a:latin typeface="+mn-lt"/>
              <a:ea typeface="+mn-ea"/>
              <a:cs typeface="+mn-cs"/>
            </a:rPr>
            <a:t>- NKE recorded a very positive upturn due to stronger than expected financials and a promising turnaround plan for their recent slump. The acknowledgement of change needing to be made throughout the business was seen in very good light by investors.</a:t>
          </a:r>
        </a:p>
        <a:p>
          <a:r>
            <a:rPr lang="en-IE" sz="800" u="none" baseline="0">
              <a:solidFill>
                <a:schemeClr val="dk1"/>
              </a:solidFill>
              <a:effectLst/>
              <a:latin typeface="+mn-lt"/>
              <a:ea typeface="+mn-ea"/>
              <a:cs typeface="+mn-cs"/>
            </a:rPr>
            <a:t>- REITs keep decreasing in value due to the constant uncertainty within this sector regarding regulations. PLD specifically is suffering due to large scale investor uncertainty.</a:t>
          </a:r>
        </a:p>
        <a:p>
          <a:r>
            <a:rPr lang="en-IE" sz="800" u="none" baseline="0">
              <a:solidFill>
                <a:schemeClr val="dk1"/>
              </a:solidFill>
              <a:effectLst/>
              <a:latin typeface="+mn-lt"/>
              <a:ea typeface="+mn-ea"/>
              <a:cs typeface="+mn-cs"/>
            </a:rPr>
            <a:t>- With geopolitical tensions easing across the world and specifically the Middle East we see oil prices decreasing again, this has a knock on effect on companies within the energy sector.</a:t>
          </a:r>
        </a:p>
        <a:p>
          <a:r>
            <a:rPr lang="en-IE" sz="800" u="none" baseline="0">
              <a:solidFill>
                <a:schemeClr val="dk1"/>
              </a:solidFill>
              <a:effectLst/>
              <a:latin typeface="+mn-lt"/>
              <a:ea typeface="+mn-ea"/>
              <a:cs typeface="+mn-cs"/>
            </a:rPr>
            <a:t>- Financials and Defense sectors have felt great increases during this week due to these easing worldwide tensions. Investors have become more confident with banks. The defense sector as a whole has benefitted greatly due to new defense agreements by NATO. </a:t>
          </a:r>
        </a:p>
        <a:p>
          <a:r>
            <a:rPr lang="en-IE" sz="800" u="none" baseline="0">
              <a:solidFill>
                <a:schemeClr val="dk1"/>
              </a:solidFill>
              <a:effectLst/>
              <a:latin typeface="+mn-lt"/>
              <a:ea typeface="+mn-ea"/>
              <a:cs typeface="+mn-cs"/>
            </a:rPr>
            <a:t>- As usual the market was led by the growth in the AI and technology industry.</a:t>
          </a:r>
        </a:p>
        <a:p>
          <a:r>
            <a:rPr lang="en-IE" sz="800" u="none" baseline="0">
              <a:solidFill>
                <a:schemeClr val="dk1"/>
              </a:solidFill>
              <a:effectLst/>
              <a:latin typeface="+mn-lt"/>
              <a:ea typeface="+mn-ea"/>
              <a:cs typeface="+mn-cs"/>
            </a:rPr>
            <a:t>~~</a:t>
          </a:r>
        </a:p>
        <a:p>
          <a:r>
            <a:rPr lang="en-IE" sz="800" b="0" i="0" u="none" strike="noStrike">
              <a:solidFill>
                <a:schemeClr val="dk1"/>
              </a:solidFill>
              <a:effectLst/>
              <a:latin typeface="+mn-lt"/>
              <a:ea typeface="+mn-ea"/>
              <a:cs typeface="+mn-cs"/>
            </a:rPr>
            <a:t>Sum of weight</a:t>
          </a:r>
          <a:r>
            <a:rPr lang="en-IE" sz="800"/>
            <a:t> </a:t>
          </a:r>
          <a:r>
            <a:rPr lang="en-IE" sz="800" b="0" i="0" u="none" strike="noStrike">
              <a:solidFill>
                <a:schemeClr val="dk1"/>
              </a:solidFill>
              <a:effectLst/>
              <a:latin typeface="+mn-lt"/>
              <a:ea typeface="+mn-ea"/>
              <a:cs typeface="+mn-cs"/>
            </a:rPr>
            <a:t>0.98</a:t>
          </a:r>
          <a:r>
            <a:rPr lang="en-IE" sz="800"/>
            <a:t> </a:t>
          </a:r>
          <a:r>
            <a:rPr lang="en-IE" sz="800" b="0" i="0" u="none" strike="noStrike">
              <a:solidFill>
                <a:schemeClr val="dk1"/>
              </a:solidFill>
              <a:effectLst/>
              <a:latin typeface="+mn-lt"/>
              <a:ea typeface="+mn-ea"/>
              <a:cs typeface="+mn-cs"/>
            </a:rPr>
            <a:t>Portfolio                   Expected return</a:t>
          </a:r>
          <a:r>
            <a:rPr lang="en-IE" sz="800"/>
            <a:t> </a:t>
          </a:r>
          <a:r>
            <a:rPr lang="en-IE" sz="800" b="0" i="0" u="none" strike="noStrike">
              <a:solidFill>
                <a:schemeClr val="dk1"/>
              </a:solidFill>
              <a:effectLst/>
              <a:latin typeface="+mn-lt"/>
              <a:ea typeface="+mn-ea"/>
              <a:cs typeface="+mn-cs"/>
            </a:rPr>
            <a:t>16.53%</a:t>
          </a:r>
          <a:r>
            <a:rPr lang="en-IE" sz="800"/>
            <a:t> </a:t>
          </a:r>
        </a:p>
        <a:p>
          <a:r>
            <a:rPr lang="en-IE" sz="800" b="0" i="0" u="none" strike="noStrike">
              <a:solidFill>
                <a:schemeClr val="dk1"/>
              </a:solidFill>
              <a:effectLst/>
              <a:latin typeface="+mn-lt"/>
              <a:ea typeface="+mn-ea"/>
              <a:cs typeface="+mn-cs"/>
            </a:rPr>
            <a:t>Portfolio Standard Deviation</a:t>
          </a:r>
          <a:r>
            <a:rPr lang="en-IE" sz="800"/>
            <a:t> </a:t>
          </a:r>
          <a:r>
            <a:rPr lang="en-IE" sz="800" b="0" i="0" u="none" strike="noStrike">
              <a:solidFill>
                <a:schemeClr val="dk1"/>
              </a:solidFill>
              <a:effectLst/>
              <a:latin typeface="+mn-lt"/>
              <a:ea typeface="+mn-ea"/>
              <a:cs typeface="+mn-cs"/>
            </a:rPr>
            <a:t>11.40%</a:t>
          </a:r>
          <a:r>
            <a:rPr lang="en-IE" sz="800"/>
            <a:t> </a:t>
          </a:r>
          <a:r>
            <a:rPr lang="en-IE" sz="800" b="0" i="0" u="none" strike="noStrike">
              <a:solidFill>
                <a:schemeClr val="dk1"/>
              </a:solidFill>
              <a:effectLst/>
              <a:latin typeface="+mn-lt"/>
              <a:ea typeface="+mn-ea"/>
              <a:cs typeface="+mn-cs"/>
            </a:rPr>
            <a:t> </a:t>
          </a:r>
          <a:r>
            <a:rPr lang="en-IE" sz="800"/>
            <a:t> </a:t>
          </a:r>
          <a:r>
            <a:rPr lang="en-IE" sz="800" b="0" i="0" u="none" strike="noStrike">
              <a:solidFill>
                <a:schemeClr val="dk1"/>
              </a:solidFill>
              <a:effectLst/>
              <a:latin typeface="+mn-lt"/>
              <a:ea typeface="+mn-ea"/>
              <a:cs typeface="+mn-cs"/>
            </a:rPr>
            <a:t> </a:t>
          </a:r>
          <a:r>
            <a:rPr lang="en-IE" sz="800"/>
            <a:t> </a:t>
          </a:r>
          <a:r>
            <a:rPr lang="en-IE" sz="800" b="0" i="0" u="none" strike="noStrike">
              <a:solidFill>
                <a:schemeClr val="dk1"/>
              </a:solidFill>
              <a:effectLst/>
              <a:latin typeface="+mn-lt"/>
              <a:ea typeface="+mn-ea"/>
              <a:cs typeface="+mn-cs"/>
            </a:rPr>
            <a:t>Expected Sharp ratio</a:t>
          </a:r>
          <a:r>
            <a:rPr lang="en-IE" sz="800" b="0" i="0" u="none" strike="noStrike" baseline="0">
              <a:solidFill>
                <a:schemeClr val="dk1"/>
              </a:solidFill>
              <a:effectLst/>
              <a:latin typeface="+mn-lt"/>
              <a:ea typeface="+mn-ea"/>
              <a:cs typeface="+mn-cs"/>
            </a:rPr>
            <a:t> </a:t>
          </a:r>
          <a:r>
            <a:rPr lang="en-IE" sz="800" b="0" i="0" u="none" strike="noStrike">
              <a:solidFill>
                <a:schemeClr val="dk1"/>
              </a:solidFill>
              <a:effectLst/>
              <a:latin typeface="+mn-lt"/>
              <a:ea typeface="+mn-ea"/>
              <a:cs typeface="+mn-cs"/>
            </a:rPr>
            <a:t>1.08 </a:t>
          </a:r>
        </a:p>
        <a:p>
          <a:endParaRPr lang="en-IE" sz="800" u="none" baseline="0">
            <a:solidFill>
              <a:schemeClr val="dk1"/>
            </a:solidFill>
            <a:effectLst/>
            <a:latin typeface="+mn-lt"/>
            <a:ea typeface="+mn-ea"/>
            <a:cs typeface="+mn-cs"/>
          </a:endParaRPr>
        </a:p>
      </xdr:txBody>
    </xdr:sp>
    <xdr:clientData/>
  </xdr:twoCellAnchor>
  <xdr:twoCellAnchor>
    <xdr:from>
      <xdr:col>62</xdr:col>
      <xdr:colOff>676542</xdr:colOff>
      <xdr:row>0</xdr:row>
      <xdr:rowOff>186939</xdr:rowOff>
    </xdr:from>
    <xdr:to>
      <xdr:col>71</xdr:col>
      <xdr:colOff>0</xdr:colOff>
      <xdr:row>60</xdr:row>
      <xdr:rowOff>0</xdr:rowOff>
    </xdr:to>
    <xdr:sp macro="" textlink="">
      <xdr:nvSpPr>
        <xdr:cNvPr id="9" name="TextBox 8">
          <a:extLst>
            <a:ext uri="{FF2B5EF4-FFF2-40B4-BE49-F238E27FC236}">
              <a16:creationId xmlns:a16="http://schemas.microsoft.com/office/drawing/2014/main" id="{4539E1CC-9210-2910-C96F-A741CA19C2EB}"/>
            </a:ext>
          </a:extLst>
        </xdr:cNvPr>
        <xdr:cNvSpPr txBox="1"/>
      </xdr:nvSpPr>
      <xdr:spPr>
        <a:xfrm>
          <a:off x="43075004" y="186939"/>
          <a:ext cx="5478073" cy="120083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E" sz="800">
              <a:solidFill>
                <a:schemeClr val="dk1"/>
              </a:solidFill>
              <a:effectLst/>
              <a:latin typeface="+mn-lt"/>
              <a:ea typeface="+mn-ea"/>
              <a:cs typeface="+mn-cs"/>
            </a:rPr>
            <a:t>- Portfolio Value - </a:t>
          </a:r>
          <a:r>
            <a:rPr lang="en-IE" sz="800" b="0" i="0">
              <a:solidFill>
                <a:schemeClr val="dk1"/>
              </a:solidFill>
              <a:effectLst/>
              <a:latin typeface="+mn-lt"/>
              <a:ea typeface="+mn-ea"/>
              <a:cs typeface="+mn-cs"/>
            </a:rPr>
            <a:t> $</a:t>
          </a:r>
          <a:r>
            <a:rPr lang="en-IE" sz="800" b="0" i="0" u="none" strike="noStrike">
              <a:solidFill>
                <a:schemeClr val="dk1"/>
              </a:solidFill>
              <a:effectLst/>
              <a:latin typeface="+mn-lt"/>
              <a:ea typeface="+mn-ea"/>
              <a:cs typeface="+mn-cs"/>
            </a:rPr>
            <a:t>105,053.26 </a:t>
          </a:r>
          <a:r>
            <a:rPr lang="en-IE" sz="800">
              <a:solidFill>
                <a:schemeClr val="dk1"/>
              </a:solidFill>
              <a:effectLst/>
              <a:latin typeface="+mn-lt"/>
              <a:ea typeface="+mn-ea"/>
              <a:cs typeface="+mn-cs"/>
            </a:rPr>
            <a:t>(+0.97%)</a:t>
          </a:r>
          <a:endParaRPr lang="en-IE" sz="800">
            <a:effectLst/>
          </a:endParaRPr>
        </a:p>
        <a:p>
          <a:r>
            <a:rPr lang="en-IE" sz="800">
              <a:solidFill>
                <a:schemeClr val="dk1"/>
              </a:solidFill>
              <a:effectLst/>
              <a:latin typeface="+mn-lt"/>
              <a:ea typeface="+mn-ea"/>
              <a:cs typeface="+mn-cs"/>
            </a:rPr>
            <a:t>- Top Performer     (%) -</a:t>
          </a:r>
          <a:r>
            <a:rPr lang="en-IE" sz="800" baseline="0">
              <a:solidFill>
                <a:schemeClr val="dk1"/>
              </a:solidFill>
              <a:effectLst/>
              <a:latin typeface="+mn-lt"/>
              <a:ea typeface="+mn-ea"/>
              <a:cs typeface="+mn-cs"/>
            </a:rPr>
            <a:t>  NKE - Nike, Inc. - (+7.53%)</a:t>
          </a:r>
        </a:p>
        <a:p>
          <a:r>
            <a:rPr lang="en-IE" sz="800">
              <a:solidFill>
                <a:schemeClr val="dk1"/>
              </a:solidFill>
              <a:effectLst/>
              <a:latin typeface="+mn-lt"/>
              <a:ea typeface="+mn-ea"/>
              <a:cs typeface="+mn-cs"/>
            </a:rPr>
            <a:t>                                  ($) - VOO - Vanguard S&amp;P 500 ETF - (+$251.65)</a:t>
          </a:r>
        </a:p>
        <a:p>
          <a:r>
            <a:rPr lang="en-IE" sz="800">
              <a:solidFill>
                <a:schemeClr val="dk1"/>
              </a:solidFill>
              <a:effectLst/>
              <a:latin typeface="+mn-lt"/>
              <a:ea typeface="+mn-ea"/>
              <a:cs typeface="+mn-cs"/>
            </a:rPr>
            <a:t>- Worst Performer (%) - SLNG - Stabilis Solutions, Inc. - (-6.95%) </a:t>
          </a:r>
        </a:p>
        <a:p>
          <a:r>
            <a:rPr lang="en-IE" sz="800">
              <a:solidFill>
                <a:schemeClr val="dk1"/>
              </a:solidFill>
              <a:effectLst/>
              <a:latin typeface="+mn-lt"/>
              <a:ea typeface="+mn-ea"/>
              <a:cs typeface="+mn-cs"/>
            </a:rPr>
            <a:t>                                  ($) - RHM.DE - Rheinmetal AG - (+$104.74)</a:t>
          </a:r>
        </a:p>
        <a:p>
          <a:endParaRPr lang="en-IE" sz="8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E" sz="800" u="sng">
              <a:solidFill>
                <a:schemeClr val="dk1"/>
              </a:solidFill>
              <a:effectLst/>
              <a:latin typeface="+mn-lt"/>
              <a:ea typeface="+mn-ea"/>
              <a:cs typeface="+mn-cs"/>
            </a:rPr>
            <a:t>Notable</a:t>
          </a:r>
          <a:r>
            <a:rPr lang="en-IE" sz="800" u="sng" baseline="0">
              <a:solidFill>
                <a:schemeClr val="dk1"/>
              </a:solidFill>
              <a:effectLst/>
              <a:latin typeface="+mn-lt"/>
              <a:ea typeface="+mn-ea"/>
              <a:cs typeface="+mn-cs"/>
            </a:rPr>
            <a:t> Events</a:t>
          </a:r>
        </a:p>
        <a:p>
          <a:pPr marL="0" marR="0" lvl="0" indent="0" defTabSz="914400" eaLnBrk="1" fontAlgn="auto" latinLnBrk="0" hangingPunct="1">
            <a:lnSpc>
              <a:spcPct val="100000"/>
            </a:lnSpc>
            <a:spcBef>
              <a:spcPts val="0"/>
            </a:spcBef>
            <a:spcAft>
              <a:spcPts val="0"/>
            </a:spcAft>
            <a:buClrTx/>
            <a:buSzTx/>
            <a:buFontTx/>
            <a:buNone/>
            <a:tabLst/>
            <a:defRPr/>
          </a:pPr>
          <a:r>
            <a:rPr lang="en-IE" sz="800">
              <a:effectLst/>
            </a:rPr>
            <a:t>- S&amp;P500 hit all time highs</a:t>
          </a:r>
        </a:p>
        <a:p>
          <a:pPr marL="0" marR="0" lvl="0" indent="0" defTabSz="914400" eaLnBrk="1" fontAlgn="auto" latinLnBrk="0" hangingPunct="1">
            <a:lnSpc>
              <a:spcPct val="100000"/>
            </a:lnSpc>
            <a:spcBef>
              <a:spcPts val="0"/>
            </a:spcBef>
            <a:spcAft>
              <a:spcPts val="0"/>
            </a:spcAft>
            <a:buClrTx/>
            <a:buSzTx/>
            <a:buFontTx/>
            <a:buNone/>
            <a:tabLst/>
            <a:defRPr/>
          </a:pPr>
          <a:r>
            <a:rPr lang="en-IE" sz="800">
              <a:effectLst/>
            </a:rPr>
            <a:t>- US continues to progress with trade deals with various countries (Vietnam, Canada)</a:t>
          </a:r>
        </a:p>
        <a:p>
          <a:pPr marL="0" marR="0" lvl="0" indent="0" defTabSz="914400" eaLnBrk="1" fontAlgn="auto" latinLnBrk="0" hangingPunct="1">
            <a:lnSpc>
              <a:spcPct val="100000"/>
            </a:lnSpc>
            <a:spcBef>
              <a:spcPts val="0"/>
            </a:spcBef>
            <a:spcAft>
              <a:spcPts val="0"/>
            </a:spcAft>
            <a:buClrTx/>
            <a:buSzTx/>
            <a:buFontTx/>
            <a:buNone/>
            <a:tabLst/>
            <a:defRPr/>
          </a:pPr>
          <a:r>
            <a:rPr lang="en-IE" sz="800">
              <a:effectLst/>
            </a:rPr>
            <a:t>- Ukraine</a:t>
          </a:r>
          <a:r>
            <a:rPr lang="en-IE" sz="800" baseline="0">
              <a:effectLst/>
            </a:rPr>
            <a:t> and US defense discussions scheduled for next week amid heightened Russian attacks</a:t>
          </a:r>
        </a:p>
        <a:p>
          <a:pPr marL="0" marR="0" lvl="0" indent="0" defTabSz="914400" eaLnBrk="1" fontAlgn="auto" latinLnBrk="0" hangingPunct="1">
            <a:lnSpc>
              <a:spcPct val="100000"/>
            </a:lnSpc>
            <a:spcBef>
              <a:spcPts val="0"/>
            </a:spcBef>
            <a:spcAft>
              <a:spcPts val="0"/>
            </a:spcAft>
            <a:buClrTx/>
            <a:buSzTx/>
            <a:buFontTx/>
            <a:buNone/>
            <a:tabLst/>
            <a:defRPr/>
          </a:pPr>
          <a:r>
            <a:rPr lang="en-IE" sz="800" baseline="0">
              <a:effectLst/>
            </a:rPr>
            <a:t>- Incoming tariffs of up to 70% from the US to countries that don't cooperate</a:t>
          </a:r>
        </a:p>
        <a:p>
          <a:pPr marL="0" marR="0" lvl="0" indent="0" defTabSz="914400" eaLnBrk="1" fontAlgn="auto" latinLnBrk="0" hangingPunct="1">
            <a:lnSpc>
              <a:spcPct val="100000"/>
            </a:lnSpc>
            <a:spcBef>
              <a:spcPts val="0"/>
            </a:spcBef>
            <a:spcAft>
              <a:spcPts val="0"/>
            </a:spcAft>
            <a:buClrTx/>
            <a:buSzTx/>
            <a:buFontTx/>
            <a:buNone/>
            <a:tabLst/>
            <a:defRPr/>
          </a:pPr>
          <a:r>
            <a:rPr lang="en-IE" sz="800" baseline="0">
              <a:effectLst/>
            </a:rPr>
            <a:t>- Many Eastern European countries bordering anti-mining treaty, as they prepare to mine their borders with Russian amid safety concerns.</a:t>
          </a:r>
        </a:p>
        <a:p>
          <a:pPr marL="0" marR="0" lvl="0" indent="0" defTabSz="914400" eaLnBrk="1" fontAlgn="auto" latinLnBrk="0" hangingPunct="1">
            <a:lnSpc>
              <a:spcPct val="100000"/>
            </a:lnSpc>
            <a:spcBef>
              <a:spcPts val="0"/>
            </a:spcBef>
            <a:spcAft>
              <a:spcPts val="0"/>
            </a:spcAft>
            <a:buClrTx/>
            <a:buSzTx/>
            <a:buFontTx/>
            <a:buNone/>
            <a:tabLst/>
            <a:defRPr/>
          </a:pPr>
          <a:r>
            <a:rPr lang="en-IE" sz="800" baseline="0">
              <a:effectLst/>
            </a:rPr>
            <a:t>- Big Beautiful Bill got passed</a:t>
          </a:r>
        </a:p>
        <a:p>
          <a:pPr marL="0" marR="0" lvl="0" indent="0" defTabSz="914400" eaLnBrk="1" fontAlgn="auto" latinLnBrk="0" hangingPunct="1">
            <a:lnSpc>
              <a:spcPct val="100000"/>
            </a:lnSpc>
            <a:spcBef>
              <a:spcPts val="0"/>
            </a:spcBef>
            <a:spcAft>
              <a:spcPts val="0"/>
            </a:spcAft>
            <a:buClrTx/>
            <a:buSzTx/>
            <a:buFontTx/>
            <a:buNone/>
            <a:tabLst/>
            <a:defRPr/>
          </a:pPr>
          <a:endParaRPr lang="en-IE" sz="8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IE" sz="800" u="sng" baseline="0">
              <a:solidFill>
                <a:schemeClr val="dk1"/>
              </a:solidFill>
              <a:effectLst/>
              <a:latin typeface="+mn-lt"/>
              <a:ea typeface="+mn-ea"/>
              <a:cs typeface="+mn-cs"/>
            </a:rPr>
            <a:t>Effect on Portfolio</a:t>
          </a:r>
        </a:p>
        <a:p>
          <a:pPr marL="0" marR="0" lvl="0" indent="0" defTabSz="914400" eaLnBrk="1" fontAlgn="auto" latinLnBrk="0" hangingPunct="1">
            <a:lnSpc>
              <a:spcPct val="100000"/>
            </a:lnSpc>
            <a:spcBef>
              <a:spcPts val="0"/>
            </a:spcBef>
            <a:spcAft>
              <a:spcPts val="0"/>
            </a:spcAft>
            <a:buClrTx/>
            <a:buSzTx/>
            <a:buFontTx/>
            <a:buNone/>
            <a:tabLst/>
            <a:defRPr/>
          </a:pPr>
          <a:r>
            <a:rPr lang="en-IE" sz="800">
              <a:effectLst/>
            </a:rPr>
            <a:t>NKE is still receiving big</a:t>
          </a:r>
          <a:r>
            <a:rPr lang="en-IE" sz="800" baseline="0">
              <a:effectLst/>
            </a:rPr>
            <a:t> gains from last weeks successful shareholder meeting, this beign the only significant outlier in the portfolio.</a:t>
          </a:r>
        </a:p>
        <a:p>
          <a:pPr marL="0" marR="0" lvl="0" indent="0" defTabSz="914400" eaLnBrk="1" fontAlgn="auto" latinLnBrk="0" hangingPunct="1">
            <a:lnSpc>
              <a:spcPct val="100000"/>
            </a:lnSpc>
            <a:spcBef>
              <a:spcPts val="0"/>
            </a:spcBef>
            <a:spcAft>
              <a:spcPts val="0"/>
            </a:spcAft>
            <a:buClrTx/>
            <a:buSzTx/>
            <a:buFontTx/>
            <a:buNone/>
            <a:tabLst/>
            <a:defRPr/>
          </a:pPr>
          <a:r>
            <a:rPr lang="en-IE" sz="800" baseline="0">
              <a:effectLst/>
            </a:rPr>
            <a:t>All assets associated with the European Defense market went down slightly, largely due to very good performance previously and noww investors are profit taking. </a:t>
          </a:r>
        </a:p>
        <a:p>
          <a:pPr marL="0" marR="0" lvl="0" indent="0" defTabSz="914400" eaLnBrk="1" fontAlgn="auto" latinLnBrk="0" hangingPunct="1">
            <a:lnSpc>
              <a:spcPct val="100000"/>
            </a:lnSpc>
            <a:spcBef>
              <a:spcPts val="0"/>
            </a:spcBef>
            <a:spcAft>
              <a:spcPts val="0"/>
            </a:spcAft>
            <a:buClrTx/>
            <a:buSzTx/>
            <a:buFontTx/>
            <a:buNone/>
            <a:tabLst/>
            <a:defRPr/>
          </a:pPr>
          <a:r>
            <a:rPr lang="en-IE" sz="800" baseline="0">
              <a:effectLst/>
            </a:rPr>
            <a:t>All other assets performed quite similarly to the market as a whole.</a:t>
          </a:r>
        </a:p>
        <a:p>
          <a:pPr marL="0" marR="0" lvl="0" indent="0" defTabSz="914400" eaLnBrk="1" fontAlgn="auto" latinLnBrk="0" hangingPunct="1">
            <a:lnSpc>
              <a:spcPct val="100000"/>
            </a:lnSpc>
            <a:spcBef>
              <a:spcPts val="0"/>
            </a:spcBef>
            <a:spcAft>
              <a:spcPts val="0"/>
            </a:spcAft>
            <a:buClrTx/>
            <a:buSzTx/>
            <a:buFontTx/>
            <a:buNone/>
            <a:tabLst/>
            <a:defRPr/>
          </a:pPr>
          <a:endParaRPr lang="en-IE" sz="800">
            <a:effectLst/>
          </a:endParaRPr>
        </a:p>
        <a:p>
          <a:r>
            <a:rPr lang="en-IE" sz="800" u="sng" baseline="0">
              <a:solidFill>
                <a:schemeClr val="dk1"/>
              </a:solidFill>
              <a:effectLst/>
              <a:latin typeface="+mn-lt"/>
              <a:ea typeface="+mn-ea"/>
              <a:cs typeface="+mn-cs"/>
            </a:rPr>
            <a:t>Overview on Asset Performance</a:t>
          </a:r>
          <a:endParaRPr lang="en-IE" sz="800">
            <a:effectLst/>
          </a:endParaRPr>
        </a:p>
        <a:p>
          <a:r>
            <a:rPr lang="en-IE" sz="800" baseline="0">
              <a:solidFill>
                <a:schemeClr val="dk1"/>
              </a:solidFill>
              <a:effectLst/>
              <a:latin typeface="+mn-lt"/>
              <a:ea typeface="+mn-ea"/>
              <a:cs typeface="+mn-cs"/>
            </a:rPr>
            <a:t>Starting with the assets that led to overall losses we see that :</a:t>
          </a:r>
          <a:endParaRPr lang="en-IE" sz="800">
            <a:effectLst/>
          </a:endParaRPr>
        </a:p>
        <a:p>
          <a:r>
            <a:rPr lang="en-IE" sz="800" baseline="0">
              <a:solidFill>
                <a:schemeClr val="dk1"/>
              </a:solidFill>
              <a:effectLst/>
              <a:latin typeface="+mn-lt"/>
              <a:ea typeface="+mn-ea"/>
              <a:cs typeface="+mn-cs"/>
            </a:rPr>
            <a:t>-TSLA -  experienced great volatility over the course of the 6 weeks mainly due to Musk's instability and unpredicatble actions, good short term action by selling 75% of shares in Week 3, but in the long term it does have potential to grow if the right developments are made.  </a:t>
          </a:r>
          <a:endParaRPr lang="en-IE" sz="800">
            <a:effectLst/>
          </a:endParaRPr>
        </a:p>
        <a:p>
          <a:r>
            <a:rPr lang="en-IE" sz="800" baseline="0">
              <a:solidFill>
                <a:schemeClr val="dk1"/>
              </a:solidFill>
              <a:effectLst/>
              <a:latin typeface="+mn-lt"/>
              <a:ea typeface="+mn-ea"/>
              <a:cs typeface="+mn-cs"/>
            </a:rPr>
            <a:t>-SLNG - the largest % loser at more than -20%. Continuous weight of 0.25%, made sure that the risk of investing in a small cap company was not large. </a:t>
          </a:r>
          <a:endParaRPr lang="en-IE" sz="800">
            <a:effectLst/>
          </a:endParaRPr>
        </a:p>
        <a:p>
          <a:r>
            <a:rPr lang="en-IE" sz="800" baseline="0">
              <a:solidFill>
                <a:schemeClr val="dk1"/>
              </a:solidFill>
              <a:effectLst/>
              <a:latin typeface="+mn-lt"/>
              <a:ea typeface="+mn-ea"/>
              <a:cs typeface="+mn-cs"/>
            </a:rPr>
            <a:t>-DGE.L - Was purchased halfway through the portfolio. DGE.L largely fell a lot due to loss of revenue due to trade disruptions with the US. Especially in its alcohol trade. With easing tensions I feel that this company will recover slowly as seen in the growth this week.</a:t>
          </a:r>
          <a:endParaRPr lang="en-IE" sz="800">
            <a:effectLst/>
          </a:endParaRPr>
        </a:p>
        <a:p>
          <a:r>
            <a:rPr lang="en-IE" sz="800" baseline="0">
              <a:solidFill>
                <a:schemeClr val="dk1"/>
              </a:solidFill>
              <a:effectLst/>
              <a:latin typeface="+mn-lt"/>
              <a:ea typeface="+mn-ea"/>
              <a:cs typeface="+mn-cs"/>
            </a:rPr>
            <a:t>-ULVR.L  - similarly to DGE.L trade disruptions largely affected the price of this stock, but it did not perform as bad as DGE.L.</a:t>
          </a:r>
          <a:endParaRPr lang="en-IE" sz="800">
            <a:effectLst/>
          </a:endParaRPr>
        </a:p>
        <a:p>
          <a:r>
            <a:rPr lang="en-IE" sz="800" baseline="0">
              <a:solidFill>
                <a:schemeClr val="dk1"/>
              </a:solidFill>
              <a:effectLst/>
              <a:latin typeface="+mn-lt"/>
              <a:ea typeface="+mn-ea"/>
              <a:cs typeface="+mn-cs"/>
            </a:rPr>
            <a:t>-PLD - Largest $ loser. Underperformed greatly and the economic and geopolitical uncertainty did not help its case. The previous ~7% weight that I had on this REIT was quite high. The Sharpe ratio had largely led to me include 10% weight on REITs but i think that my new overall 5% allocation to these seem much more appropriate, especially with the current volatility in the market.</a:t>
          </a:r>
          <a:endParaRPr lang="en-IE" sz="800">
            <a:effectLst/>
          </a:endParaRPr>
        </a:p>
        <a:p>
          <a:r>
            <a:rPr lang="en-IE" sz="800" baseline="0">
              <a:solidFill>
                <a:schemeClr val="dk1"/>
              </a:solidFill>
              <a:effectLst/>
              <a:latin typeface="+mn-lt"/>
              <a:ea typeface="+mn-ea"/>
              <a:cs typeface="+mn-cs"/>
            </a:rPr>
            <a:t>The majority of the assets included returned a profit :</a:t>
          </a:r>
          <a:endParaRPr lang="en-IE" sz="800">
            <a:effectLst/>
          </a:endParaRPr>
        </a:p>
        <a:p>
          <a:r>
            <a:rPr lang="en-IE" sz="800" baseline="0">
              <a:solidFill>
                <a:schemeClr val="dk1"/>
              </a:solidFill>
              <a:effectLst/>
              <a:latin typeface="+mn-lt"/>
              <a:ea typeface="+mn-ea"/>
              <a:cs typeface="+mn-cs"/>
            </a:rPr>
            <a:t>- VOO gave the portfolio the highest $ gain, largely due to its constant weight of ~18% of the portfolio.  </a:t>
          </a:r>
          <a:endParaRPr lang="en-IE" sz="800">
            <a:effectLst/>
          </a:endParaRPr>
        </a:p>
        <a:p>
          <a:r>
            <a:rPr lang="en-IE" sz="800" baseline="0">
              <a:solidFill>
                <a:schemeClr val="dk1"/>
              </a:solidFill>
              <a:effectLst/>
              <a:latin typeface="+mn-lt"/>
              <a:ea typeface="+mn-ea"/>
              <a:cs typeface="+mn-cs"/>
            </a:rPr>
            <a:t>- GOOGL - solid gains of ~9% were largely due to progress being made in the AI and technology field. Was largely helped by the constant growth of the technology industry.</a:t>
          </a:r>
          <a:endParaRPr lang="en-IE" sz="800">
            <a:effectLst/>
          </a:endParaRPr>
        </a:p>
        <a:p>
          <a:r>
            <a:rPr lang="en-IE" sz="800" baseline="0">
              <a:solidFill>
                <a:schemeClr val="dk1"/>
              </a:solidFill>
              <a:effectLst/>
              <a:latin typeface="+mn-lt"/>
              <a:ea typeface="+mn-ea"/>
              <a:cs typeface="+mn-cs"/>
            </a:rPr>
            <a:t>- SBUX - strong investor confidence and consumer expenditure led to gains of &gt;9%. </a:t>
          </a:r>
          <a:endParaRPr lang="en-IE" sz="800">
            <a:effectLst/>
          </a:endParaRPr>
        </a:p>
        <a:p>
          <a:r>
            <a:rPr lang="en-IE" sz="800" baseline="0">
              <a:solidFill>
                <a:schemeClr val="dk1"/>
              </a:solidFill>
              <a:effectLst/>
              <a:latin typeface="+mn-lt"/>
              <a:ea typeface="+mn-ea"/>
              <a:cs typeface="+mn-cs"/>
            </a:rPr>
            <a:t>- NKE - massive gain of &gt;25% largely due to last weeks earnings call and increased investor interest in this asset due to a new positive path outlined for the future. The risk of buying more stock before the earnings call proved to be largely positive. This was the best performing asset by % return.</a:t>
          </a:r>
          <a:endParaRPr lang="en-IE" sz="800">
            <a:effectLst/>
          </a:endParaRPr>
        </a:p>
        <a:p>
          <a:r>
            <a:rPr lang="en-IE" sz="800" baseline="0">
              <a:solidFill>
                <a:schemeClr val="dk1"/>
              </a:solidFill>
              <a:effectLst/>
              <a:latin typeface="+mn-lt"/>
              <a:ea typeface="+mn-ea"/>
              <a:cs typeface="+mn-cs"/>
            </a:rPr>
            <a:t>- XOM - growth of just over 5%, largely due to the constant fluctuation in oil prices.</a:t>
          </a:r>
          <a:endParaRPr lang="en-IE" sz="800">
            <a:effectLst/>
          </a:endParaRPr>
        </a:p>
        <a:p>
          <a:r>
            <a:rPr lang="en-IE" sz="800" baseline="0">
              <a:solidFill>
                <a:schemeClr val="dk1"/>
              </a:solidFill>
              <a:effectLst/>
              <a:latin typeface="+mn-lt"/>
              <a:ea typeface="+mn-ea"/>
              <a:cs typeface="+mn-cs"/>
            </a:rPr>
            <a:t>- EQNR - at week 4 it had an overall return of over 20% due to new contracts being given by the EU to EQNR to produce more sustainable energy. Now the overall return sits at ~11%, largely due to the sudden rise in oil prices and then drop again after a cease fire was said to be agreed between Israel and Iran. Investor optimism in the energy market was given a scare overall, with many investors waiting for more stable geopolitical circumstances to invest once again in this sector.</a:t>
          </a:r>
          <a:endParaRPr lang="en-IE" sz="800">
            <a:effectLst/>
          </a:endParaRPr>
        </a:p>
        <a:p>
          <a:r>
            <a:rPr lang="en-IE" sz="800" baseline="0">
              <a:solidFill>
                <a:schemeClr val="dk1"/>
              </a:solidFill>
              <a:effectLst/>
              <a:latin typeface="+mn-lt"/>
              <a:ea typeface="+mn-ea"/>
              <a:cs typeface="+mn-cs"/>
            </a:rPr>
            <a:t>- BAC - experienced most of its growth during the last 3 weeks, where interest rates experienced an increase which benefits the financial institutions. Did not perform that well in the beginning due to economic and geopolitical uncertainty but now this has become more stable and investors feel more confident investing in such.</a:t>
          </a:r>
          <a:endParaRPr lang="en-IE" sz="800">
            <a:effectLst/>
          </a:endParaRPr>
        </a:p>
        <a:p>
          <a:r>
            <a:rPr lang="en-IE" sz="800" baseline="0">
              <a:solidFill>
                <a:schemeClr val="dk1"/>
              </a:solidFill>
              <a:effectLst/>
              <a:latin typeface="+mn-lt"/>
              <a:ea typeface="+mn-ea"/>
              <a:cs typeface="+mn-cs"/>
            </a:rPr>
            <a:t>- V - strong revenues, consumer expenditure and projects in the AI sector have led to them experiencing modest 3% gains.</a:t>
          </a:r>
          <a:endParaRPr lang="en-IE" sz="800">
            <a:effectLst/>
          </a:endParaRPr>
        </a:p>
        <a:p>
          <a:r>
            <a:rPr lang="en-IE" sz="800" baseline="0">
              <a:solidFill>
                <a:schemeClr val="dk1"/>
              </a:solidFill>
              <a:effectLst/>
              <a:latin typeface="+mn-lt"/>
              <a:ea typeface="+mn-ea"/>
              <a:cs typeface="+mn-cs"/>
            </a:rPr>
            <a:t>- RHM.DE, NATO.L (ETF for European based defense assets) and RR.L all had % returns of between 5% and 15% due to the increase in European based defense expenditure due to the agreements made to be less reliant on American defense and machinery. European based defense assets have much more room for growth as the need for security is ever-growing and without the help of the USA, European companies will need to step up and provide more innovation and development to fill this gap.</a:t>
          </a:r>
          <a:endParaRPr lang="en-IE" sz="800">
            <a:effectLst/>
          </a:endParaRPr>
        </a:p>
        <a:p>
          <a:r>
            <a:rPr lang="en-IE" sz="800" baseline="0">
              <a:solidFill>
                <a:schemeClr val="dk1"/>
              </a:solidFill>
              <a:effectLst/>
              <a:latin typeface="+mn-lt"/>
              <a:ea typeface="+mn-ea"/>
              <a:cs typeface="+mn-cs"/>
            </a:rPr>
            <a:t>- ITA (ETF for American based defense assets) - also experienced growth of ~8%, indicating that the defense industry as a whole performed really well over the last 6 weeks. </a:t>
          </a:r>
          <a:endParaRPr lang="en-IE" sz="800">
            <a:effectLst/>
          </a:endParaRPr>
        </a:p>
        <a:p>
          <a:r>
            <a:rPr lang="en-IE" sz="800" baseline="0">
              <a:solidFill>
                <a:schemeClr val="dk1"/>
              </a:solidFill>
              <a:effectLst/>
              <a:latin typeface="+mn-lt"/>
              <a:ea typeface="+mn-ea"/>
              <a:cs typeface="+mn-cs"/>
            </a:rPr>
            <a:t>- BNP.PA - Experienced growth of ~1% due to increased economically favourable conditions in the EU and overall investor confidence is growing.</a:t>
          </a:r>
          <a:endParaRPr lang="en-IE" sz="800">
            <a:effectLst/>
          </a:endParaRPr>
        </a:p>
        <a:p>
          <a:r>
            <a:rPr lang="en-IE" sz="800" baseline="0">
              <a:solidFill>
                <a:schemeClr val="dk1"/>
              </a:solidFill>
              <a:effectLst/>
              <a:latin typeface="+mn-lt"/>
              <a:ea typeface="+mn-ea"/>
              <a:cs typeface="+mn-cs"/>
            </a:rPr>
            <a:t>- RKT.L - Best performer out of the 4 stocks added in week 3 to help with more exposure to European based assets. Experienced positive growth due to new strategies to increase efficiency for the production aspect in many of its companies that were shown to investors. </a:t>
          </a:r>
          <a:endParaRPr lang="en-IE" sz="800">
            <a:effectLst/>
          </a:endParaRPr>
        </a:p>
        <a:p>
          <a:r>
            <a:rPr lang="en-IE" sz="800" baseline="0">
              <a:solidFill>
                <a:schemeClr val="dk1"/>
              </a:solidFill>
              <a:effectLst/>
              <a:latin typeface="+mn-lt"/>
              <a:ea typeface="+mn-ea"/>
              <a:cs typeface="+mn-cs"/>
            </a:rPr>
            <a:t>-VICI - unlike PLD, VICI made a small gain. This is mainly due to the difference in business models used by each company. With VICI's model proving to provide more stability during times of extreme volatility.</a:t>
          </a:r>
          <a:endParaRPr lang="en-IE" sz="800">
            <a:effectLst/>
          </a:endParaRPr>
        </a:p>
        <a:p>
          <a:r>
            <a:rPr lang="en-IE" sz="800" baseline="0">
              <a:solidFill>
                <a:schemeClr val="dk1"/>
              </a:solidFill>
              <a:effectLst/>
              <a:latin typeface="+mn-lt"/>
              <a:ea typeface="+mn-ea"/>
              <a:cs typeface="+mn-cs"/>
            </a:rPr>
            <a:t>- EUR and GBP - gains of just over 5% and just under 3% respectively. This shows that the EUR and GBP performed extremely well against the USD, this is due to many factors like investors moving many assets to Europe due to increased uncertainty over American involvement in a potential war, and political and economical uncertainty caused by the government through tariffs and various other legislations and trade deals. </a:t>
          </a:r>
        </a:p>
        <a:p>
          <a:pPr marL="0" marR="0" lvl="0" indent="0" defTabSz="914400" eaLnBrk="1" fontAlgn="auto" latinLnBrk="0" hangingPunct="1">
            <a:lnSpc>
              <a:spcPct val="100000"/>
            </a:lnSpc>
            <a:spcBef>
              <a:spcPts val="0"/>
            </a:spcBef>
            <a:spcAft>
              <a:spcPts val="0"/>
            </a:spcAft>
            <a:buClrTx/>
            <a:buSzTx/>
            <a:buFontTx/>
            <a:buNone/>
            <a:tabLst/>
            <a:defRPr/>
          </a:pPr>
          <a:r>
            <a:rPr lang="en-IE" sz="800" baseline="0">
              <a:solidFill>
                <a:schemeClr val="dk1"/>
              </a:solidFill>
              <a:effectLst/>
              <a:latin typeface="+mn-lt"/>
              <a:ea typeface="+mn-ea"/>
              <a:cs typeface="+mn-cs"/>
            </a:rPr>
            <a:t>- BTC - during this period had some severe volatility, but as a long term investment it remains of interest due to possible long term stability, especially with more investment from established businesses and governments. With growth of 3.17%, it shows that BTC may be a reliable investment option. </a:t>
          </a:r>
        </a:p>
        <a:p>
          <a:pPr marL="0" marR="0" lvl="0" indent="0" defTabSz="914400" eaLnBrk="1" fontAlgn="auto" latinLnBrk="0" hangingPunct="1">
            <a:lnSpc>
              <a:spcPct val="100000"/>
            </a:lnSpc>
            <a:spcBef>
              <a:spcPts val="0"/>
            </a:spcBef>
            <a:spcAft>
              <a:spcPts val="0"/>
            </a:spcAft>
            <a:buClrTx/>
            <a:buSzTx/>
            <a:buFontTx/>
            <a:buNone/>
            <a:tabLst/>
            <a:defRPr/>
          </a:pPr>
          <a:r>
            <a:rPr lang="en-IE" sz="800" baseline="0">
              <a:solidFill>
                <a:schemeClr val="dk1"/>
              </a:solidFill>
              <a:effectLst/>
              <a:latin typeface="+mn-lt"/>
              <a:ea typeface="+mn-ea"/>
              <a:cs typeface="+mn-cs"/>
            </a:rPr>
            <a:t>- VWO - grew by 4.36% and had relatively low volatility compared to most other assets. Could this be a sign that lower volatility in emerging economies could be due to more stability, especially during the past six weeks having such uncertain turn of events. More growth in recent weeks indicates that emerging markets are beginning to grow more.</a:t>
          </a:r>
          <a:endParaRPr lang="en-IE" sz="800">
            <a:effectLst/>
          </a:endParaRPr>
        </a:p>
        <a:p>
          <a:r>
            <a:rPr lang="en-IE" sz="800" baseline="0">
              <a:solidFill>
                <a:schemeClr val="dk1"/>
              </a:solidFill>
              <a:effectLst/>
              <a:latin typeface="+mn-lt"/>
              <a:ea typeface="+mn-ea"/>
              <a:cs typeface="+mn-cs"/>
            </a:rPr>
            <a:t>- BNDX - as expected it grew along with the inflation rate, which was also &lt;1% a month, giving the portfolio some stable growth and less volatility.</a:t>
          </a:r>
          <a:endParaRPr lang="en-IE" sz="800">
            <a:effectLst/>
          </a:endParaRPr>
        </a:p>
        <a:p>
          <a:r>
            <a:rPr lang="en-IE" sz="800" baseline="0">
              <a:solidFill>
                <a:schemeClr val="dk1"/>
              </a:solidFill>
              <a:effectLst/>
              <a:latin typeface="+mn-lt"/>
              <a:ea typeface="+mn-ea"/>
              <a:cs typeface="+mn-cs"/>
            </a:rPr>
            <a:t>~~~~</a:t>
          </a:r>
          <a:endParaRPr lang="en-IE" sz="800">
            <a:effectLst/>
          </a:endParaRPr>
        </a:p>
        <a:p>
          <a:r>
            <a:rPr lang="en-IE" sz="800" baseline="0">
              <a:solidFill>
                <a:schemeClr val="dk1"/>
              </a:solidFill>
              <a:effectLst/>
              <a:latin typeface="+mn-lt"/>
              <a:ea typeface="+mn-ea"/>
              <a:cs typeface="+mn-cs"/>
            </a:rPr>
            <a:t>From close on 19th May to close on 3-4th June the portfolio gained a total of 5.05%. </a:t>
          </a:r>
          <a:endParaRPr lang="en-IE" sz="800">
            <a:effectLst/>
          </a:endParaRPr>
        </a:p>
        <a:p>
          <a:r>
            <a:rPr lang="en-IE" sz="800" baseline="0">
              <a:solidFill>
                <a:schemeClr val="dk1"/>
              </a:solidFill>
              <a:effectLst/>
              <a:latin typeface="+mn-lt"/>
              <a:ea typeface="+mn-ea"/>
              <a:cs typeface="+mn-cs"/>
            </a:rPr>
            <a:t>During this time </a:t>
          </a:r>
          <a:endParaRPr lang="en-IE" sz="800">
            <a:effectLst/>
          </a:endParaRPr>
        </a:p>
        <a:p>
          <a:r>
            <a:rPr lang="en-IE" sz="800" baseline="0">
              <a:solidFill>
                <a:schemeClr val="dk1"/>
              </a:solidFill>
              <a:effectLst/>
              <a:latin typeface="+mn-lt"/>
              <a:ea typeface="+mn-ea"/>
              <a:cs typeface="+mn-cs"/>
            </a:rPr>
            <a:t>S&amp;P500 Index gained 5.30%</a:t>
          </a:r>
          <a:endParaRPr lang="en-IE" sz="800">
            <a:effectLst/>
          </a:endParaRPr>
        </a:p>
        <a:p>
          <a:r>
            <a:rPr lang="en-IE" sz="800" baseline="0">
              <a:solidFill>
                <a:schemeClr val="dk1"/>
              </a:solidFill>
              <a:effectLst/>
              <a:latin typeface="+mn-lt"/>
              <a:ea typeface="+mn-ea"/>
              <a:cs typeface="+mn-cs"/>
            </a:rPr>
            <a:t>Dow Jones gained 4.76.%</a:t>
          </a:r>
          <a:endParaRPr lang="en-IE" sz="800">
            <a:effectLst/>
          </a:endParaRPr>
        </a:p>
        <a:p>
          <a:r>
            <a:rPr lang="en-IE" sz="800" baseline="0">
              <a:solidFill>
                <a:schemeClr val="dk1"/>
              </a:solidFill>
              <a:effectLst/>
              <a:latin typeface="+mn-lt"/>
              <a:ea typeface="+mn-ea"/>
              <a:cs typeface="+mn-cs"/>
            </a:rPr>
            <a:t>NYSE gained 3.76%</a:t>
          </a:r>
          <a:endParaRPr lang="en-IE" sz="800">
            <a:effectLst/>
          </a:endParaRPr>
        </a:p>
        <a:p>
          <a:r>
            <a:rPr lang="en-IE" sz="800" baseline="0">
              <a:solidFill>
                <a:schemeClr val="dk1"/>
              </a:solidFill>
              <a:effectLst/>
              <a:latin typeface="+mn-lt"/>
              <a:ea typeface="+mn-ea"/>
              <a:cs typeface="+mn-cs"/>
            </a:rPr>
            <a:t>Nikkei 225 gained 6.17%</a:t>
          </a:r>
          <a:endParaRPr lang="en-IE" sz="800">
            <a:effectLst/>
          </a:endParaRPr>
        </a:p>
        <a:p>
          <a:r>
            <a:rPr lang="en-IE" sz="800" baseline="0">
              <a:solidFill>
                <a:schemeClr val="dk1"/>
              </a:solidFill>
              <a:effectLst/>
              <a:latin typeface="+mn-lt"/>
              <a:ea typeface="+mn-ea"/>
              <a:cs typeface="+mn-cs"/>
            </a:rPr>
            <a:t>FTSE gained 1.42%</a:t>
          </a:r>
          <a:endParaRPr lang="en-IE" sz="800">
            <a:effectLst/>
          </a:endParaRPr>
        </a:p>
        <a:p>
          <a:r>
            <a:rPr lang="en-IE" sz="800" baseline="0">
              <a:solidFill>
                <a:schemeClr val="dk1"/>
              </a:solidFill>
              <a:effectLst/>
              <a:latin typeface="+mn-lt"/>
              <a:ea typeface="+mn-ea"/>
              <a:cs typeface="+mn-cs"/>
            </a:rPr>
            <a:t>EUROSTOXX50 dropped by 2.56%</a:t>
          </a:r>
          <a:endParaRPr lang="en-IE" sz="800">
            <a:effectLst/>
          </a:endParaRPr>
        </a:p>
        <a:p>
          <a:r>
            <a:rPr lang="en-IE" sz="800" baseline="0">
              <a:solidFill>
                <a:schemeClr val="dk1"/>
              </a:solidFill>
              <a:effectLst/>
              <a:latin typeface="+mn-lt"/>
              <a:ea typeface="+mn-ea"/>
              <a:cs typeface="+mn-cs"/>
            </a:rPr>
            <a:t>~~</a:t>
          </a:r>
          <a:endParaRPr lang="en-IE" sz="800">
            <a:effectLst/>
          </a:endParaRPr>
        </a:p>
        <a:p>
          <a:r>
            <a:rPr lang="en-IE" sz="800" baseline="0">
              <a:solidFill>
                <a:schemeClr val="dk1"/>
              </a:solidFill>
              <a:effectLst/>
              <a:latin typeface="+mn-lt"/>
              <a:ea typeface="+mn-ea"/>
              <a:cs typeface="+mn-cs"/>
            </a:rPr>
            <a:t>This indicates that the portfolio had a similar performance to the S&amp;P500 and outperformed many markets. This also shows that the Japanese market made significant gains during this time period and outperformed many well performing markets. </a:t>
          </a:r>
          <a:br>
            <a:rPr lang="en-IE" sz="800" baseline="0">
              <a:solidFill>
                <a:schemeClr val="dk1"/>
              </a:solidFill>
              <a:effectLst/>
              <a:latin typeface="+mn-lt"/>
              <a:ea typeface="+mn-ea"/>
              <a:cs typeface="+mn-cs"/>
            </a:rPr>
          </a:br>
          <a:r>
            <a:rPr lang="en-IE" sz="800" baseline="0">
              <a:solidFill>
                <a:schemeClr val="dk1"/>
              </a:solidFill>
              <a:effectLst/>
              <a:latin typeface="+mn-lt"/>
              <a:ea typeface="+mn-ea"/>
              <a:cs typeface="+mn-cs"/>
            </a:rPr>
            <a:t>~~</a:t>
          </a:r>
          <a:endParaRPr lang="en-IE" sz="800">
            <a:effectLst/>
          </a:endParaRPr>
        </a:p>
        <a:p>
          <a:r>
            <a:rPr lang="en-IE" sz="800" baseline="0">
              <a:solidFill>
                <a:schemeClr val="dk1"/>
              </a:solidFill>
              <a:effectLst/>
              <a:latin typeface="+mn-lt"/>
              <a:ea typeface="+mn-ea"/>
              <a:cs typeface="+mn-cs"/>
            </a:rPr>
            <a:t>Final Sharpe Ratio :</a:t>
          </a:r>
          <a:endParaRPr lang="en-IE" sz="800">
            <a:effectLst/>
          </a:endParaRPr>
        </a:p>
        <a:p>
          <a:r>
            <a:rPr lang="en-IE" sz="800" b="0" i="0" u="none" strike="noStrike">
              <a:solidFill>
                <a:schemeClr val="dk1"/>
              </a:solidFill>
              <a:effectLst/>
              <a:latin typeface="+mn-lt"/>
              <a:ea typeface="+mn-ea"/>
              <a:cs typeface="+mn-cs"/>
            </a:rPr>
            <a:t>Sum of weight</a:t>
          </a:r>
          <a:r>
            <a:rPr lang="en-IE" sz="800"/>
            <a:t> </a:t>
          </a:r>
          <a:r>
            <a:rPr lang="en-IE" sz="800" b="0" i="0" u="none" strike="noStrike">
              <a:solidFill>
                <a:schemeClr val="dk1"/>
              </a:solidFill>
              <a:effectLst/>
              <a:latin typeface="+mn-lt"/>
              <a:ea typeface="+mn-ea"/>
              <a:cs typeface="+mn-cs"/>
            </a:rPr>
            <a:t>0.98</a:t>
          </a:r>
          <a:r>
            <a:rPr lang="en-IE" sz="800"/>
            <a:t> </a:t>
          </a:r>
          <a:r>
            <a:rPr lang="en-IE" sz="800" b="0" i="0" u="none" strike="noStrike">
              <a:solidFill>
                <a:schemeClr val="dk1"/>
              </a:solidFill>
              <a:effectLst/>
              <a:latin typeface="+mn-lt"/>
              <a:ea typeface="+mn-ea"/>
              <a:cs typeface="+mn-cs"/>
            </a:rPr>
            <a:t>Portfolio                   Expected return</a:t>
          </a:r>
          <a:r>
            <a:rPr lang="en-IE" sz="800"/>
            <a:t> </a:t>
          </a:r>
          <a:r>
            <a:rPr lang="en-IE" sz="800" b="0" i="0" u="none" strike="noStrike">
              <a:solidFill>
                <a:schemeClr val="dk1"/>
              </a:solidFill>
              <a:effectLst/>
              <a:latin typeface="+mn-lt"/>
              <a:ea typeface="+mn-ea"/>
              <a:cs typeface="+mn-cs"/>
            </a:rPr>
            <a:t>16.18%</a:t>
          </a:r>
          <a:r>
            <a:rPr lang="en-IE" sz="800"/>
            <a:t> </a:t>
          </a:r>
        </a:p>
        <a:p>
          <a:r>
            <a:rPr lang="en-IE" sz="800" b="0" i="0" u="none" strike="noStrike">
              <a:solidFill>
                <a:schemeClr val="dk1"/>
              </a:solidFill>
              <a:effectLst/>
              <a:latin typeface="+mn-lt"/>
              <a:ea typeface="+mn-ea"/>
              <a:cs typeface="+mn-cs"/>
            </a:rPr>
            <a:t>Portfolio Standard Deviation</a:t>
          </a:r>
          <a:r>
            <a:rPr lang="en-IE" sz="800"/>
            <a:t> </a:t>
          </a:r>
          <a:r>
            <a:rPr lang="en-IE" sz="800" b="0" i="0" u="none" strike="noStrike">
              <a:solidFill>
                <a:schemeClr val="dk1"/>
              </a:solidFill>
              <a:effectLst/>
              <a:latin typeface="+mn-lt"/>
              <a:ea typeface="+mn-ea"/>
              <a:cs typeface="+mn-cs"/>
            </a:rPr>
            <a:t>11.14%</a:t>
          </a:r>
          <a:r>
            <a:rPr lang="en-IE" sz="800"/>
            <a:t> </a:t>
          </a:r>
          <a:r>
            <a:rPr lang="en-IE" sz="800" b="0" i="0" u="none" strike="noStrike">
              <a:solidFill>
                <a:schemeClr val="dk1"/>
              </a:solidFill>
              <a:effectLst/>
              <a:latin typeface="+mn-lt"/>
              <a:ea typeface="+mn-ea"/>
              <a:cs typeface="+mn-cs"/>
            </a:rPr>
            <a:t> </a:t>
          </a:r>
          <a:r>
            <a:rPr lang="en-IE" sz="800"/>
            <a:t> </a:t>
          </a:r>
          <a:r>
            <a:rPr lang="en-IE" sz="800" b="0" i="0" u="none" strike="noStrike">
              <a:solidFill>
                <a:schemeClr val="dk1"/>
              </a:solidFill>
              <a:effectLst/>
              <a:latin typeface="+mn-lt"/>
              <a:ea typeface="+mn-ea"/>
              <a:cs typeface="+mn-cs"/>
            </a:rPr>
            <a:t> </a:t>
          </a:r>
          <a:r>
            <a:rPr lang="en-IE" sz="800"/>
            <a:t> </a:t>
          </a:r>
          <a:r>
            <a:rPr lang="en-IE" sz="800" b="0" i="0" u="none" strike="noStrike">
              <a:solidFill>
                <a:schemeClr val="dk1"/>
              </a:solidFill>
              <a:effectLst/>
              <a:latin typeface="+mn-lt"/>
              <a:ea typeface="+mn-ea"/>
              <a:cs typeface="+mn-cs"/>
            </a:rPr>
            <a:t>Expected Sharp ratio</a:t>
          </a:r>
          <a:r>
            <a:rPr lang="en-IE" sz="800"/>
            <a:t> </a:t>
          </a:r>
          <a:r>
            <a:rPr lang="en-IE" sz="800" b="0" i="0" u="none" strike="noStrike">
              <a:solidFill>
                <a:schemeClr val="dk1"/>
              </a:solidFill>
              <a:effectLst/>
              <a:latin typeface="+mn-lt"/>
              <a:ea typeface="+mn-ea"/>
              <a:cs typeface="+mn-cs"/>
            </a:rPr>
            <a:t> 1.07 </a:t>
          </a:r>
          <a:endParaRPr lang="en-IE" sz="800"/>
        </a:p>
      </xdr:txBody>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95"/>
  <sheetViews>
    <sheetView topLeftCell="A45" zoomScale="37" zoomScaleNormal="85" workbookViewId="0">
      <selection activeCell="Q67" sqref="Q67:Q90"/>
    </sheetView>
  </sheetViews>
  <sheetFormatPr defaultColWidth="10.75" defaultRowHeight="15"/>
  <cols>
    <col min="1" max="1" width="23.5" style="4" bestFit="1" customWidth="1"/>
    <col min="2" max="2" width="51.5" style="1" bestFit="1" customWidth="1"/>
    <col min="3" max="3" width="36.375" style="1" bestFit="1" customWidth="1"/>
    <col min="4" max="4" width="15.25" style="1" bestFit="1" customWidth="1"/>
    <col min="5" max="5" width="17.125" style="1" customWidth="1"/>
    <col min="6" max="6" width="15.75" style="1" customWidth="1"/>
    <col min="7" max="7" width="16.75" style="6" bestFit="1" customWidth="1"/>
    <col min="8" max="8" width="13.875" style="6" bestFit="1" customWidth="1"/>
    <col min="9" max="9" width="12.75" style="6" bestFit="1" customWidth="1"/>
    <col min="10" max="10" width="12.5" style="1" bestFit="1" customWidth="1"/>
    <col min="11" max="11" width="13.125" style="1" bestFit="1" customWidth="1"/>
    <col min="12" max="13" width="10.75" style="1"/>
    <col min="14" max="14" width="11.875" style="1" bestFit="1" customWidth="1"/>
    <col min="15" max="15" width="12.375" style="1" bestFit="1" customWidth="1"/>
    <col min="16" max="16" width="12.625" style="1" bestFit="1" customWidth="1"/>
    <col min="17" max="16384" width="10.75" style="1"/>
  </cols>
  <sheetData>
    <row r="1" spans="1:12" ht="15.75">
      <c r="A1" s="20" t="s">
        <v>21</v>
      </c>
      <c r="B1" s="21">
        <v>45797</v>
      </c>
      <c r="F1" s="6"/>
      <c r="I1" s="1"/>
    </row>
    <row r="2" spans="1:12" ht="15.75">
      <c r="A2" s="20" t="s">
        <v>8</v>
      </c>
      <c r="B2" s="22" t="s">
        <v>22</v>
      </c>
      <c r="F2" s="6"/>
      <c r="I2" s="1"/>
    </row>
    <row r="3" spans="1:12" ht="15.75">
      <c r="A3" s="20" t="s">
        <v>9</v>
      </c>
      <c r="B3" s="15" t="s">
        <v>23</v>
      </c>
      <c r="F3" s="6"/>
      <c r="I3" s="1"/>
    </row>
    <row r="4" spans="1:12" ht="15.75">
      <c r="A4" s="8"/>
      <c r="F4" s="6"/>
      <c r="I4" s="1"/>
    </row>
    <row r="5" spans="1:12">
      <c r="A5" s="1"/>
      <c r="F5" s="6"/>
      <c r="I5" s="1"/>
    </row>
    <row r="6" spans="1:12" ht="21" thickBot="1">
      <c r="A6" s="31" t="s">
        <v>15</v>
      </c>
      <c r="B6" s="32"/>
      <c r="C6" s="13" t="s">
        <v>7</v>
      </c>
      <c r="D6" s="14" t="s">
        <v>17</v>
      </c>
      <c r="F6" s="6"/>
      <c r="I6" s="1"/>
    </row>
    <row r="7" spans="1:12" ht="20.25">
      <c r="A7" s="109" t="s">
        <v>76</v>
      </c>
      <c r="B7" s="110">
        <f>D7</f>
        <v>0.14381566652957214</v>
      </c>
      <c r="C7" s="106" t="s">
        <v>39</v>
      </c>
      <c r="D7" s="35">
        <f t="shared" ref="D7" si="0">I36</f>
        <v>0.14381566652957214</v>
      </c>
      <c r="F7" s="6"/>
      <c r="I7" s="1"/>
    </row>
    <row r="8" spans="1:12" ht="20.25">
      <c r="A8" s="111" t="s">
        <v>65</v>
      </c>
      <c r="B8" s="112">
        <f>SUM(D16:D19)</f>
        <v>0.26900994865064515</v>
      </c>
      <c r="C8" s="107" t="s">
        <v>46</v>
      </c>
      <c r="D8" s="35">
        <f t="shared" ref="D8:D25" si="1">I37</f>
        <v>2.6715383407414296E-2</v>
      </c>
      <c r="F8" s="6"/>
      <c r="I8" s="1"/>
    </row>
    <row r="9" spans="1:12" ht="20.25">
      <c r="A9" s="111" t="s">
        <v>77</v>
      </c>
      <c r="B9" s="112">
        <f>SUM(D8:D11,D13:D15,D20:D27)</f>
        <v>0.42456531429033723</v>
      </c>
      <c r="C9" s="107" t="s">
        <v>48</v>
      </c>
      <c r="D9" s="35">
        <f t="shared" si="1"/>
        <v>2.0957497239293384E-3</v>
      </c>
      <c r="F9" s="6"/>
      <c r="I9" s="1"/>
    </row>
    <row r="10" spans="1:12" ht="20.25">
      <c r="A10" s="111" t="s">
        <v>25</v>
      </c>
      <c r="B10" s="112">
        <f>D12</f>
        <v>4.2585627110649782E-2</v>
      </c>
      <c r="C10" s="107" t="s">
        <v>51</v>
      </c>
      <c r="D10" s="35">
        <f t="shared" si="1"/>
        <v>3.4502547503301451E-2</v>
      </c>
      <c r="F10" s="6"/>
      <c r="I10" s="1"/>
    </row>
    <row r="11" spans="1:12" ht="20.25">
      <c r="A11" s="111" t="s">
        <v>78</v>
      </c>
      <c r="B11" s="112">
        <f>SUM(D28:D29)</f>
        <v>5.0069596100697861E-2</v>
      </c>
      <c r="C11" s="107" t="s">
        <v>53</v>
      </c>
      <c r="D11" s="35">
        <f t="shared" si="1"/>
        <v>3.0047435744033468E-2</v>
      </c>
      <c r="F11" s="6"/>
      <c r="I11" s="1"/>
    </row>
    <row r="12" spans="1:12" ht="21" thickBot="1">
      <c r="A12" s="113" t="s">
        <v>79</v>
      </c>
      <c r="B12" s="114">
        <f>D31</f>
        <v>6.9953847318097714E-2</v>
      </c>
      <c r="C12" s="108" t="s">
        <v>24</v>
      </c>
      <c r="D12" s="35">
        <f t="shared" si="1"/>
        <v>4.2585627110649782E-2</v>
      </c>
      <c r="F12" s="6"/>
      <c r="I12" s="1"/>
    </row>
    <row r="13" spans="1:12" s="3" customFormat="1" ht="20.25">
      <c r="A13" s="34"/>
      <c r="B13" s="1"/>
      <c r="C13" s="100" t="s">
        <v>56</v>
      </c>
      <c r="D13" s="35">
        <f t="shared" si="1"/>
        <v>4.5791833459461202E-2</v>
      </c>
      <c r="E13" s="1"/>
      <c r="F13" s="6"/>
      <c r="G13" s="6"/>
      <c r="H13" s="6"/>
      <c r="I13" s="1"/>
      <c r="J13" s="1"/>
      <c r="K13" s="1"/>
      <c r="L13" s="1"/>
    </row>
    <row r="14" spans="1:12" ht="20.25">
      <c r="A14" s="34"/>
      <c r="C14" s="100" t="s">
        <v>59</v>
      </c>
      <c r="D14" s="35">
        <f t="shared" si="1"/>
        <v>2.4421219239222623E-3</v>
      </c>
      <c r="F14" s="6"/>
      <c r="I14" s="1"/>
    </row>
    <row r="15" spans="1:12" ht="20.25">
      <c r="A15" s="34"/>
      <c r="C15" s="100" t="s">
        <v>61</v>
      </c>
      <c r="D15" s="35">
        <f t="shared" si="1"/>
        <v>1.4573747944533481E-2</v>
      </c>
      <c r="F15" s="6"/>
      <c r="I15" s="1"/>
    </row>
    <row r="16" spans="1:12" ht="20.25">
      <c r="A16" s="34"/>
      <c r="C16" s="101" t="s">
        <v>63</v>
      </c>
      <c r="D16" s="35">
        <f t="shared" si="1"/>
        <v>3.0747186753608036E-2</v>
      </c>
      <c r="F16" s="6"/>
      <c r="I16" s="1"/>
    </row>
    <row r="17" spans="1:11" ht="20.25">
      <c r="A17" s="34"/>
      <c r="C17" s="101" t="s">
        <v>66</v>
      </c>
      <c r="D17" s="35">
        <f t="shared" si="1"/>
        <v>2.1554878952928885E-2</v>
      </c>
      <c r="F17" s="6"/>
      <c r="I17" s="1"/>
    </row>
    <row r="18" spans="1:11" ht="20.25">
      <c r="A18" s="34"/>
      <c r="C18" s="101" t="s">
        <v>26</v>
      </c>
      <c r="D18" s="35">
        <f t="shared" si="1"/>
        <v>2.0917732455004164E-2</v>
      </c>
      <c r="F18" s="6"/>
      <c r="I18" s="1"/>
    </row>
    <row r="19" spans="1:11" ht="20.25">
      <c r="A19" s="34"/>
      <c r="C19" s="101" t="s">
        <v>10</v>
      </c>
      <c r="D19" s="35">
        <f t="shared" si="1"/>
        <v>0.19579015048910406</v>
      </c>
      <c r="F19" s="6"/>
      <c r="I19" s="1"/>
    </row>
    <row r="20" spans="1:11" ht="20.25">
      <c r="A20" s="34"/>
      <c r="C20" s="102" t="s">
        <v>68</v>
      </c>
      <c r="D20" s="35">
        <f t="shared" si="1"/>
        <v>1.5209347528652901E-2</v>
      </c>
      <c r="F20" s="6"/>
      <c r="I20" s="1"/>
    </row>
    <row r="21" spans="1:11" ht="20.25">
      <c r="A21" s="34"/>
      <c r="C21" s="102" t="s">
        <v>71</v>
      </c>
      <c r="D21" s="35">
        <f t="shared" si="1"/>
        <v>1.8955517790444226E-2</v>
      </c>
      <c r="F21" s="6"/>
      <c r="I21" s="1"/>
    </row>
    <row r="22" spans="1:11" ht="20.25">
      <c r="A22" s="34"/>
      <c r="C22" s="272" t="s">
        <v>178</v>
      </c>
      <c r="D22" s="271">
        <f t="shared" si="1"/>
        <v>4.1834171329505031E-2</v>
      </c>
      <c r="F22" s="6"/>
      <c r="I22" s="1"/>
    </row>
    <row r="23" spans="1:11" ht="20.25">
      <c r="A23" s="34"/>
      <c r="C23" s="273" t="s">
        <v>176</v>
      </c>
      <c r="D23" s="271">
        <f t="shared" si="1"/>
        <v>5.3760788209679155E-3</v>
      </c>
      <c r="F23" s="6"/>
      <c r="I23" s="1"/>
    </row>
    <row r="24" spans="1:11" ht="20.25">
      <c r="A24" s="34"/>
      <c r="C24" s="273" t="s">
        <v>179</v>
      </c>
      <c r="D24" s="271">
        <f t="shared" si="1"/>
        <v>3.3016403555120886E-2</v>
      </c>
      <c r="F24" s="6"/>
      <c r="I24" s="1"/>
    </row>
    <row r="25" spans="1:11" ht="20.25">
      <c r="A25" s="34"/>
      <c r="C25" s="273" t="s">
        <v>180</v>
      </c>
      <c r="D25" s="271">
        <f t="shared" si="1"/>
        <v>4.1936365990459697E-2</v>
      </c>
      <c r="F25" s="6"/>
      <c r="I25" s="1"/>
    </row>
    <row r="26" spans="1:11" ht="16.5">
      <c r="C26" s="103" t="s">
        <v>29</v>
      </c>
      <c r="D26" s="35">
        <f>I55</f>
        <v>5.4176159684975043E-2</v>
      </c>
      <c r="F26" s="6"/>
      <c r="I26" s="1"/>
    </row>
    <row r="27" spans="1:11" ht="16.5">
      <c r="C27" s="103" t="s">
        <v>31</v>
      </c>
      <c r="D27" s="35">
        <f>I56</f>
        <v>5.7892449883616068E-2</v>
      </c>
      <c r="F27" s="6"/>
      <c r="I27" s="1"/>
    </row>
    <row r="28" spans="1:11" ht="16.5">
      <c r="C28" s="104" t="s">
        <v>33</v>
      </c>
      <c r="D28" s="35">
        <f>I57</f>
        <v>3.157615056339013E-2</v>
      </c>
      <c r="F28" s="6"/>
      <c r="I28" s="1"/>
    </row>
    <row r="29" spans="1:11" ht="16.5">
      <c r="C29" s="104" t="s">
        <v>35</v>
      </c>
      <c r="D29" s="35">
        <f>I58</f>
        <v>1.8493445537307734E-2</v>
      </c>
      <c r="F29" s="6"/>
      <c r="I29" s="1"/>
    </row>
    <row r="30" spans="1:11" ht="15.75">
      <c r="A30" s="30" t="s">
        <v>16</v>
      </c>
      <c r="B30" s="98">
        <v>45842</v>
      </c>
      <c r="C30" s="17" t="s">
        <v>75</v>
      </c>
      <c r="D30" s="23">
        <f>SUM(D7:D29)</f>
        <v>0.93004615268190216</v>
      </c>
      <c r="F30" s="6"/>
      <c r="I30" s="1"/>
      <c r="K30" s="2"/>
    </row>
    <row r="31" spans="1:11" ht="15.75">
      <c r="A31" s="19" t="s">
        <v>18</v>
      </c>
      <c r="B31" s="99">
        <v>100000</v>
      </c>
      <c r="C31" s="16" t="s">
        <v>13</v>
      </c>
      <c r="D31" s="24">
        <f>SUM(I60:I62)</f>
        <v>6.9953847318097714E-2</v>
      </c>
      <c r="F31" s="6"/>
      <c r="I31" s="1"/>
    </row>
    <row r="32" spans="1:11" ht="15.75">
      <c r="A32" s="9"/>
      <c r="B32" s="10"/>
      <c r="C32" s="18" t="s">
        <v>6</v>
      </c>
      <c r="D32" s="25">
        <f>SUM(D30,D31)</f>
        <v>0.99999999999999989</v>
      </c>
      <c r="F32" s="6"/>
      <c r="I32" s="1"/>
    </row>
    <row r="33" spans="1:10" ht="15.75">
      <c r="A33" s="9"/>
      <c r="B33" s="10"/>
      <c r="C33" s="26"/>
      <c r="D33" s="27"/>
      <c r="F33" s="6"/>
      <c r="I33" s="1"/>
    </row>
    <row r="34" spans="1:10">
      <c r="A34" s="5"/>
      <c r="F34" s="6"/>
      <c r="I34" s="1"/>
    </row>
    <row r="35" spans="1:10" ht="50.25" thickBot="1">
      <c r="A35" s="36" t="s">
        <v>7</v>
      </c>
      <c r="B35" s="37" t="s">
        <v>0</v>
      </c>
      <c r="C35" s="37" t="s">
        <v>1</v>
      </c>
      <c r="D35" s="37" t="s">
        <v>20</v>
      </c>
      <c r="E35" s="37" t="s">
        <v>3</v>
      </c>
      <c r="F35" s="38" t="s">
        <v>2</v>
      </c>
      <c r="G35" s="38" t="s">
        <v>4</v>
      </c>
      <c r="H35" s="38" t="s">
        <v>19</v>
      </c>
      <c r="I35" s="39" t="s">
        <v>5</v>
      </c>
      <c r="J35" s="40" t="s">
        <v>14</v>
      </c>
    </row>
    <row r="36" spans="1:10" ht="16.5" thickBot="1">
      <c r="A36" s="47" t="s">
        <v>39</v>
      </c>
      <c r="B36" s="48" t="s">
        <v>40</v>
      </c>
      <c r="C36" s="48" t="s">
        <v>44</v>
      </c>
      <c r="D36" s="48" t="s">
        <v>11</v>
      </c>
      <c r="E36" s="49">
        <v>320</v>
      </c>
      <c r="F36" s="50">
        <v>49.39</v>
      </c>
      <c r="G36" s="50">
        <f t="shared" ref="G36:G58" si="2">E36*F36</f>
        <v>15804.8</v>
      </c>
      <c r="H36" s="50">
        <f t="shared" ref="H36:H41" si="3">G36</f>
        <v>15804.8</v>
      </c>
      <c r="I36" s="51">
        <f t="shared" ref="I36:I52" si="4">H36/$H$63</f>
        <v>0.14381566652957214</v>
      </c>
      <c r="J36" s="52">
        <f>(P68-O68)/O68</f>
        <v>-2.4237527772167011E-3</v>
      </c>
    </row>
    <row r="37" spans="1:10" ht="16.5" thickBot="1">
      <c r="A37" s="167" t="s">
        <v>46</v>
      </c>
      <c r="B37" s="168" t="s">
        <v>47</v>
      </c>
      <c r="C37" s="168" t="s">
        <v>45</v>
      </c>
      <c r="D37" s="168" t="s">
        <v>11</v>
      </c>
      <c r="E37" s="169">
        <v>12</v>
      </c>
      <c r="F37" s="170">
        <v>244.66</v>
      </c>
      <c r="G37" s="170">
        <f>E37*F37</f>
        <v>2935.92</v>
      </c>
      <c r="H37" s="170">
        <f t="shared" si="3"/>
        <v>2935.92</v>
      </c>
      <c r="I37" s="171">
        <f t="shared" si="4"/>
        <v>2.6715383407414296E-2</v>
      </c>
      <c r="J37" s="52">
        <f t="shared" ref="J37:J62" si="5">(P69-O69)/O69</f>
        <v>0.38829938149009835</v>
      </c>
    </row>
    <row r="38" spans="1:10" ht="16.5" thickBot="1">
      <c r="A38" s="53" t="s">
        <v>48</v>
      </c>
      <c r="B38" s="54" t="s">
        <v>49</v>
      </c>
      <c r="C38" s="54" t="s">
        <v>50</v>
      </c>
      <c r="D38" s="54" t="s">
        <v>11</v>
      </c>
      <c r="E38" s="55">
        <v>0.5</v>
      </c>
      <c r="F38" s="56">
        <v>460.63</v>
      </c>
      <c r="G38" s="56">
        <f>E38*F38</f>
        <v>230.315</v>
      </c>
      <c r="H38" s="56">
        <f t="shared" si="3"/>
        <v>230.315</v>
      </c>
      <c r="I38" s="57">
        <f t="shared" si="4"/>
        <v>2.0957497239293384E-3</v>
      </c>
      <c r="J38" s="52">
        <f t="shared" si="5"/>
        <v>0.45007240445759605</v>
      </c>
    </row>
    <row r="39" spans="1:10" ht="16.5" thickBot="1">
      <c r="A39" s="53" t="s">
        <v>51</v>
      </c>
      <c r="B39" s="54" t="s">
        <v>52</v>
      </c>
      <c r="C39" s="54" t="s">
        <v>50</v>
      </c>
      <c r="D39" s="54" t="s">
        <v>11</v>
      </c>
      <c r="E39" s="55">
        <v>45</v>
      </c>
      <c r="F39" s="56">
        <v>84.26</v>
      </c>
      <c r="G39" s="56">
        <f>E39*F39</f>
        <v>3791.7000000000003</v>
      </c>
      <c r="H39" s="56">
        <f t="shared" si="3"/>
        <v>3791.7000000000003</v>
      </c>
      <c r="I39" s="57">
        <f t="shared" si="4"/>
        <v>3.4502547503301451E-2</v>
      </c>
      <c r="J39" s="52">
        <f t="shared" si="5"/>
        <v>-8.0432172869147472E-2</v>
      </c>
    </row>
    <row r="40" spans="1:10" ht="16.5" thickBot="1">
      <c r="A40" s="53" t="s">
        <v>53</v>
      </c>
      <c r="B40" s="54" t="s">
        <v>54</v>
      </c>
      <c r="C40" s="54" t="s">
        <v>50</v>
      </c>
      <c r="D40" s="54" t="s">
        <v>11</v>
      </c>
      <c r="E40" s="55">
        <v>45</v>
      </c>
      <c r="F40" s="56">
        <v>73.38</v>
      </c>
      <c r="G40" s="56">
        <f>E40*F40</f>
        <v>3302.1</v>
      </c>
      <c r="H40" s="56">
        <f t="shared" si="3"/>
        <v>3302.1</v>
      </c>
      <c r="I40" s="57">
        <f t="shared" si="4"/>
        <v>3.0047435744033468E-2</v>
      </c>
      <c r="J40" s="52">
        <f t="shared" si="5"/>
        <v>3.2939189189189103E-2</v>
      </c>
    </row>
    <row r="41" spans="1:10" ht="16.5" thickBot="1">
      <c r="A41" s="58" t="s">
        <v>24</v>
      </c>
      <c r="B41" s="59" t="s">
        <v>55</v>
      </c>
      <c r="C41" s="59" t="s">
        <v>25</v>
      </c>
      <c r="D41" s="59" t="s">
        <v>11</v>
      </c>
      <c r="E41" s="60">
        <v>0.04</v>
      </c>
      <c r="F41" s="61">
        <v>117000</v>
      </c>
      <c r="G41" s="61">
        <f>E41*F41</f>
        <v>4680</v>
      </c>
      <c r="H41" s="61">
        <f t="shared" si="3"/>
        <v>4680</v>
      </c>
      <c r="I41" s="62">
        <f t="shared" si="4"/>
        <v>4.2585627110649782E-2</v>
      </c>
      <c r="J41" s="52">
        <f t="shared" si="5"/>
        <v>7.9479491596528881E-2</v>
      </c>
    </row>
    <row r="42" spans="1:10" ht="16.5" thickBot="1">
      <c r="A42" s="63" t="s">
        <v>56</v>
      </c>
      <c r="B42" s="64" t="s">
        <v>57</v>
      </c>
      <c r="C42" s="64" t="s">
        <v>58</v>
      </c>
      <c r="D42" s="64" t="s">
        <v>11</v>
      </c>
      <c r="E42" s="65">
        <v>45</v>
      </c>
      <c r="F42" s="66">
        <v>111.83</v>
      </c>
      <c r="G42" s="66">
        <f t="shared" si="2"/>
        <v>5032.3500000000004</v>
      </c>
      <c r="H42" s="66">
        <f t="shared" ref="H42:H58" si="6">G42</f>
        <v>5032.3500000000004</v>
      </c>
      <c r="I42" s="67">
        <f t="shared" si="4"/>
        <v>4.5791833459461202E-2</v>
      </c>
      <c r="J42" s="52">
        <f t="shared" si="5"/>
        <v>3.7384044526901743E-2</v>
      </c>
    </row>
    <row r="43" spans="1:10" ht="16.5" thickBot="1">
      <c r="A43" s="63" t="s">
        <v>59</v>
      </c>
      <c r="B43" s="64" t="s">
        <v>60</v>
      </c>
      <c r="C43" s="64" t="s">
        <v>58</v>
      </c>
      <c r="D43" s="64" t="s">
        <v>11</v>
      </c>
      <c r="E43" s="65">
        <v>60</v>
      </c>
      <c r="F43" s="66">
        <v>4.4729999999999999</v>
      </c>
      <c r="G43" s="66">
        <f t="shared" si="2"/>
        <v>268.38</v>
      </c>
      <c r="H43" s="66">
        <f t="shared" si="6"/>
        <v>268.38</v>
      </c>
      <c r="I43" s="67">
        <f t="shared" si="4"/>
        <v>2.4421219239222623E-3</v>
      </c>
      <c r="J43" s="52">
        <f t="shared" si="5"/>
        <v>-5.8315789473684224E-2</v>
      </c>
    </row>
    <row r="44" spans="1:10" ht="16.5" thickBot="1">
      <c r="A44" s="63" t="s">
        <v>61</v>
      </c>
      <c r="B44" s="64" t="s">
        <v>62</v>
      </c>
      <c r="C44" s="64" t="s">
        <v>58</v>
      </c>
      <c r="D44" s="64" t="s">
        <v>11</v>
      </c>
      <c r="E44" s="65">
        <v>65</v>
      </c>
      <c r="F44" s="66">
        <v>24.64</v>
      </c>
      <c r="G44" s="66">
        <f t="shared" si="2"/>
        <v>1601.6000000000001</v>
      </c>
      <c r="H44" s="66">
        <f t="shared" si="6"/>
        <v>1601.6000000000001</v>
      </c>
      <c r="I44" s="67">
        <f t="shared" si="4"/>
        <v>1.4573747944533481E-2</v>
      </c>
      <c r="J44" s="52">
        <f t="shared" si="5"/>
        <v>-1.9888623707239459E-2</v>
      </c>
    </row>
    <row r="45" spans="1:10" ht="16.5" thickBot="1">
      <c r="A45" s="68" t="s">
        <v>63</v>
      </c>
      <c r="B45" s="69" t="s">
        <v>64</v>
      </c>
      <c r="C45" s="69" t="s">
        <v>65</v>
      </c>
      <c r="D45" s="69" t="s">
        <v>11</v>
      </c>
      <c r="E45" s="70">
        <v>62</v>
      </c>
      <c r="F45" s="71">
        <v>54.5</v>
      </c>
      <c r="G45" s="71">
        <f t="shared" si="2"/>
        <v>3379</v>
      </c>
      <c r="H45" s="71">
        <f t="shared" si="6"/>
        <v>3379</v>
      </c>
      <c r="I45" s="72">
        <f t="shared" si="4"/>
        <v>3.0747186753608036E-2</v>
      </c>
      <c r="J45" s="52">
        <f t="shared" si="5"/>
        <v>0.10190052567731502</v>
      </c>
    </row>
    <row r="46" spans="1:10" ht="16.5" thickBot="1">
      <c r="A46" s="68" t="s">
        <v>66</v>
      </c>
      <c r="B46" s="69" t="s">
        <v>67</v>
      </c>
      <c r="C46" s="69" t="s">
        <v>65</v>
      </c>
      <c r="D46" s="69" t="s">
        <v>11</v>
      </c>
      <c r="E46" s="70">
        <v>120</v>
      </c>
      <c r="F46" s="71">
        <v>19.739999999999998</v>
      </c>
      <c r="G46" s="71">
        <f t="shared" si="2"/>
        <v>2368.7999999999997</v>
      </c>
      <c r="H46" s="71">
        <f t="shared" si="6"/>
        <v>2368.7999999999997</v>
      </c>
      <c r="I46" s="72">
        <f t="shared" si="4"/>
        <v>2.1554878952928885E-2</v>
      </c>
      <c r="J46" s="52">
        <f t="shared" si="5"/>
        <v>8.5808580858085723E-2</v>
      </c>
    </row>
    <row r="47" spans="1:10" ht="16.5" thickBot="1">
      <c r="A47" s="68" t="s">
        <v>26</v>
      </c>
      <c r="B47" s="69" t="s">
        <v>27</v>
      </c>
      <c r="C47" s="69" t="s">
        <v>65</v>
      </c>
      <c r="D47" s="69" t="s">
        <v>11</v>
      </c>
      <c r="E47" s="70">
        <v>11</v>
      </c>
      <c r="F47" s="71">
        <v>208.98</v>
      </c>
      <c r="G47" s="71">
        <f t="shared" si="2"/>
        <v>2298.7799999999997</v>
      </c>
      <c r="H47" s="71">
        <f t="shared" si="6"/>
        <v>2298.7799999999997</v>
      </c>
      <c r="I47" s="72">
        <f t="shared" si="4"/>
        <v>2.0917732455004164E-2</v>
      </c>
      <c r="J47" s="52">
        <f t="shared" si="5"/>
        <v>0.10782442748091593</v>
      </c>
    </row>
    <row r="48" spans="1:10" ht="16.5" thickBot="1">
      <c r="A48" s="68" t="s">
        <v>10</v>
      </c>
      <c r="B48" s="69" t="s">
        <v>12</v>
      </c>
      <c r="C48" s="69" t="s">
        <v>65</v>
      </c>
      <c r="D48" s="69" t="s">
        <v>11</v>
      </c>
      <c r="E48" s="70">
        <v>35</v>
      </c>
      <c r="F48" s="71">
        <v>614.76</v>
      </c>
      <c r="G48" s="71">
        <f t="shared" si="2"/>
        <v>21516.6</v>
      </c>
      <c r="H48" s="71">
        <f t="shared" si="6"/>
        <v>21516.6</v>
      </c>
      <c r="I48" s="72">
        <f t="shared" si="4"/>
        <v>0.19579015048910406</v>
      </c>
      <c r="J48" s="52">
        <f t="shared" si="5"/>
        <v>8.2266781684065954E-2</v>
      </c>
    </row>
    <row r="49" spans="1:10" ht="16.5" thickBot="1">
      <c r="A49" s="73" t="s">
        <v>68</v>
      </c>
      <c r="B49" s="74" t="s">
        <v>69</v>
      </c>
      <c r="C49" s="74" t="s">
        <v>70</v>
      </c>
      <c r="D49" s="74" t="s">
        <v>11</v>
      </c>
      <c r="E49" s="75">
        <v>33</v>
      </c>
      <c r="F49" s="76">
        <v>50.65</v>
      </c>
      <c r="G49" s="76">
        <f t="shared" si="2"/>
        <v>1671.45</v>
      </c>
      <c r="H49" s="76">
        <f t="shared" si="6"/>
        <v>1671.45</v>
      </c>
      <c r="I49" s="77">
        <f t="shared" si="4"/>
        <v>1.5209347528652901E-2</v>
      </c>
      <c r="J49" s="52">
        <f t="shared" si="5"/>
        <v>7.0371935756551207E-2</v>
      </c>
    </row>
    <row r="50" spans="1:10" ht="16.5" thickBot="1">
      <c r="A50" s="73" t="s">
        <v>71</v>
      </c>
      <c r="B50" s="74" t="s">
        <v>72</v>
      </c>
      <c r="C50" s="74" t="s">
        <v>70</v>
      </c>
      <c r="D50" s="74" t="s">
        <v>11</v>
      </c>
      <c r="E50" s="75">
        <v>6</v>
      </c>
      <c r="F50" s="76">
        <v>347.19</v>
      </c>
      <c r="G50" s="76">
        <f t="shared" si="2"/>
        <v>2083.14</v>
      </c>
      <c r="H50" s="76">
        <f t="shared" si="6"/>
        <v>2083.14</v>
      </c>
      <c r="I50" s="77">
        <f t="shared" si="4"/>
        <v>1.8955517790444226E-2</v>
      </c>
      <c r="J50" s="52">
        <f t="shared" si="5"/>
        <v>-2.2137727080693004E-2</v>
      </c>
    </row>
    <row r="51" spans="1:10" ht="16.5" thickBot="1">
      <c r="A51" s="73" t="s">
        <v>178</v>
      </c>
      <c r="B51" s="74" t="s">
        <v>190</v>
      </c>
      <c r="C51" s="74" t="s">
        <v>70</v>
      </c>
      <c r="D51" s="74" t="s">
        <v>28</v>
      </c>
      <c r="E51" s="75">
        <v>50</v>
      </c>
      <c r="F51" s="76">
        <v>78.34</v>
      </c>
      <c r="G51" s="76">
        <f t="shared" si="2"/>
        <v>3917</v>
      </c>
      <c r="H51" s="76">
        <f>G51/B63</f>
        <v>4597.4178403755868</v>
      </c>
      <c r="I51" s="77">
        <f t="shared" si="4"/>
        <v>4.1834171329505031E-2</v>
      </c>
      <c r="J51" s="52">
        <f t="shared" si="5"/>
        <v>2.7310847088119414E-2</v>
      </c>
    </row>
    <row r="52" spans="1:10" ht="16.5" thickBot="1">
      <c r="A52" s="265" t="s">
        <v>176</v>
      </c>
      <c r="B52" s="266" t="s">
        <v>188</v>
      </c>
      <c r="C52" s="266" t="s">
        <v>189</v>
      </c>
      <c r="D52" s="266" t="s">
        <v>37</v>
      </c>
      <c r="E52" s="267">
        <v>0.1</v>
      </c>
      <c r="F52" s="268">
        <v>4372</v>
      </c>
      <c r="G52" s="268">
        <f t="shared" si="2"/>
        <v>437.20000000000005</v>
      </c>
      <c r="H52" s="268">
        <f>G52/$B$64</f>
        <v>590.81081081081084</v>
      </c>
      <c r="I52" s="269">
        <f t="shared" si="4"/>
        <v>5.3760788209679155E-3</v>
      </c>
      <c r="J52" s="52">
        <f t="shared" si="5"/>
        <v>-2.6797740112994323E-2</v>
      </c>
    </row>
    <row r="53" spans="1:10" ht="16.5" thickBot="1">
      <c r="A53" s="265" t="s">
        <v>179</v>
      </c>
      <c r="B53" s="266" t="s">
        <v>191</v>
      </c>
      <c r="C53" s="266" t="s">
        <v>189</v>
      </c>
      <c r="D53" s="266" t="s">
        <v>37</v>
      </c>
      <c r="E53" s="267">
        <v>1.5</v>
      </c>
      <c r="F53" s="268">
        <v>1790</v>
      </c>
      <c r="G53" s="268">
        <f t="shared" si="2"/>
        <v>2685</v>
      </c>
      <c r="H53" s="268">
        <f t="shared" ref="H53:H54" si="7">G53/$B$64</f>
        <v>3628.3783783783783</v>
      </c>
      <c r="I53" s="269">
        <f t="shared" ref="I53:I54" si="8">H53/$H$63</f>
        <v>3.3016403555120886E-2</v>
      </c>
      <c r="J53" s="52">
        <f t="shared" si="5"/>
        <v>-3.5475929978118187E-2</v>
      </c>
    </row>
    <row r="54" spans="1:10" ht="16.5" thickBot="1">
      <c r="A54" s="265" t="s">
        <v>180</v>
      </c>
      <c r="B54" s="266" t="s">
        <v>192</v>
      </c>
      <c r="C54" s="266" t="s">
        <v>189</v>
      </c>
      <c r="D54" s="266" t="s">
        <v>37</v>
      </c>
      <c r="E54" s="267">
        <v>0.6</v>
      </c>
      <c r="F54" s="268">
        <v>5684</v>
      </c>
      <c r="G54" s="268">
        <f t="shared" si="2"/>
        <v>3410.4</v>
      </c>
      <c r="H54" s="268">
        <f t="shared" si="7"/>
        <v>4608.6486486486492</v>
      </c>
      <c r="I54" s="269">
        <f t="shared" si="8"/>
        <v>4.1936365990459697E-2</v>
      </c>
      <c r="J54" s="52">
        <f t="shared" si="5"/>
        <v>0.12991725529767928</v>
      </c>
    </row>
    <row r="55" spans="1:10" ht="16.5" thickBot="1">
      <c r="A55" s="78" t="s">
        <v>29</v>
      </c>
      <c r="B55" s="79" t="s">
        <v>30</v>
      </c>
      <c r="C55" s="79" t="s">
        <v>73</v>
      </c>
      <c r="D55" s="79" t="s">
        <v>28</v>
      </c>
      <c r="E55" s="80">
        <v>2.6</v>
      </c>
      <c r="F55" s="81">
        <v>1951</v>
      </c>
      <c r="G55" s="81">
        <f>E55*F55</f>
        <v>5072.6000000000004</v>
      </c>
      <c r="H55" s="81">
        <f>G55/B63</f>
        <v>5953.7558685446011</v>
      </c>
      <c r="I55" s="82">
        <f t="shared" ref="I55:I62" si="9">H55/$H$63</f>
        <v>5.4176159684975043E-2</v>
      </c>
      <c r="J55" s="52">
        <f t="shared" si="5"/>
        <v>8.6590391915581835E-2</v>
      </c>
    </row>
    <row r="56" spans="1:10" ht="16.5" thickBot="1">
      <c r="A56" s="78" t="s">
        <v>31</v>
      </c>
      <c r="B56" s="79" t="s">
        <v>32</v>
      </c>
      <c r="C56" s="79" t="s">
        <v>73</v>
      </c>
      <c r="D56" s="79" t="s">
        <v>37</v>
      </c>
      <c r="E56" s="80">
        <v>4</v>
      </c>
      <c r="F56" s="81">
        <v>1177</v>
      </c>
      <c r="G56" s="81">
        <f>E56*F56</f>
        <v>4708</v>
      </c>
      <c r="H56" s="81">
        <f>G56/B64</f>
        <v>6362.1621621621625</v>
      </c>
      <c r="I56" s="82">
        <f t="shared" si="9"/>
        <v>5.7892449883616068E-2</v>
      </c>
      <c r="J56" s="52">
        <f t="shared" si="5"/>
        <v>0.19816556428276155</v>
      </c>
    </row>
    <row r="57" spans="1:10" ht="16.5" thickBot="1">
      <c r="A57" s="83" t="s">
        <v>33</v>
      </c>
      <c r="B57" s="84" t="s">
        <v>34</v>
      </c>
      <c r="C57" s="84" t="s">
        <v>74</v>
      </c>
      <c r="D57" s="84" t="s">
        <v>11</v>
      </c>
      <c r="E57" s="85">
        <v>30</v>
      </c>
      <c r="F57" s="86">
        <v>115.67</v>
      </c>
      <c r="G57" s="86">
        <f t="shared" si="2"/>
        <v>3470.1</v>
      </c>
      <c r="H57" s="86">
        <f t="shared" si="6"/>
        <v>3470.1</v>
      </c>
      <c r="I57" s="87">
        <f t="shared" si="9"/>
        <v>3.157615056339013E-2</v>
      </c>
      <c r="J57" s="52">
        <f t="shared" si="5"/>
        <v>0.10036149162861475</v>
      </c>
    </row>
    <row r="58" spans="1:10" ht="16.5" thickBot="1">
      <c r="A58" s="83" t="s">
        <v>35</v>
      </c>
      <c r="B58" s="84" t="s">
        <v>36</v>
      </c>
      <c r="C58" s="84" t="s">
        <v>74</v>
      </c>
      <c r="D58" s="84" t="s">
        <v>11</v>
      </c>
      <c r="E58" s="85">
        <v>62</v>
      </c>
      <c r="F58" s="86">
        <v>32.78</v>
      </c>
      <c r="G58" s="86">
        <f t="shared" si="2"/>
        <v>2032.3600000000001</v>
      </c>
      <c r="H58" s="86">
        <f t="shared" si="6"/>
        <v>2032.3600000000001</v>
      </c>
      <c r="I58" s="87">
        <f t="shared" si="9"/>
        <v>1.8493445537307734E-2</v>
      </c>
      <c r="J58" s="52">
        <f t="shared" si="5"/>
        <v>5.5214723926380769E-3</v>
      </c>
    </row>
    <row r="59" spans="1:10" ht="16.5" thickBot="1">
      <c r="A59" s="88" t="s">
        <v>41</v>
      </c>
      <c r="B59" s="89"/>
      <c r="C59" s="90"/>
      <c r="D59" s="90"/>
      <c r="E59" s="90"/>
      <c r="F59" s="91"/>
      <c r="G59" s="91"/>
      <c r="H59" s="91">
        <f>SUM(H36:H58)</f>
        <v>102208.5687089202</v>
      </c>
      <c r="I59" s="92">
        <f t="shared" si="9"/>
        <v>0.93004615268190227</v>
      </c>
      <c r="J59" s="52">
        <f t="shared" si="5"/>
        <v>6.1075872955661449E-2</v>
      </c>
    </row>
    <row r="60" spans="1:10" ht="16.5" thickBot="1">
      <c r="A60" s="93" t="s">
        <v>13</v>
      </c>
      <c r="B60" s="94" t="s">
        <v>11</v>
      </c>
      <c r="C60" s="94" t="s">
        <v>38</v>
      </c>
      <c r="D60" s="94" t="s">
        <v>11</v>
      </c>
      <c r="E60" s="105"/>
      <c r="F60" s="95"/>
      <c r="G60" s="95">
        <v>3547.9612217315662</v>
      </c>
      <c r="H60" s="96">
        <f>G60</f>
        <v>3547.9612217315662</v>
      </c>
      <c r="I60" s="97">
        <f t="shared" si="9"/>
        <v>3.2284648203355963E-2</v>
      </c>
      <c r="J60" s="52">
        <f t="shared" si="5"/>
        <v>0</v>
      </c>
    </row>
    <row r="61" spans="1:10" ht="16.5" thickBot="1">
      <c r="A61" s="93"/>
      <c r="B61" s="94" t="s">
        <v>37</v>
      </c>
      <c r="C61" s="94" t="s">
        <v>38</v>
      </c>
      <c r="D61" s="94" t="s">
        <v>37</v>
      </c>
      <c r="E61" s="94"/>
      <c r="F61" s="95"/>
      <c r="G61" s="95">
        <v>1500</v>
      </c>
      <c r="H61" s="294">
        <f>G61/B64</f>
        <v>2027.0270270270271</v>
      </c>
      <c r="I61" s="97">
        <f t="shared" si="9"/>
        <v>1.8444918187218374E-2</v>
      </c>
      <c r="J61" s="52">
        <f t="shared" si="5"/>
        <v>-1.5000000000000032E-2</v>
      </c>
    </row>
    <row r="62" spans="1:10" ht="16.5" thickBot="1">
      <c r="A62" s="43"/>
      <c r="B62" s="44" t="s">
        <v>28</v>
      </c>
      <c r="C62" s="44" t="s">
        <v>38</v>
      </c>
      <c r="D62" s="44" t="s">
        <v>28</v>
      </c>
      <c r="E62" s="44"/>
      <c r="F62" s="45"/>
      <c r="G62" s="45">
        <v>1800</v>
      </c>
      <c r="H62" s="241">
        <f>G62/B63</f>
        <v>2112.676056338028</v>
      </c>
      <c r="I62" s="46">
        <f t="shared" si="9"/>
        <v>1.9224280927523374E-2</v>
      </c>
      <c r="J62" s="52">
        <f t="shared" si="5"/>
        <v>8.2159624413136157E-4</v>
      </c>
    </row>
    <row r="63" spans="1:10" ht="16.5" thickBot="1">
      <c r="A63" s="41" t="s">
        <v>42</v>
      </c>
      <c r="B63" s="42">
        <v>0.85199999999999998</v>
      </c>
      <c r="F63" s="6"/>
      <c r="G63" s="11" t="s">
        <v>6</v>
      </c>
      <c r="H63" s="12">
        <f>SUM(H59:H62)</f>
        <v>109896.23301401682</v>
      </c>
      <c r="I63" s="33">
        <f>SUM(I59:I62)</f>
        <v>1</v>
      </c>
      <c r="J63" s="7"/>
    </row>
    <row r="64" spans="1:10" ht="15.75" thickBot="1">
      <c r="A64" s="28" t="s">
        <v>43</v>
      </c>
      <c r="B64" s="29">
        <v>0.74</v>
      </c>
      <c r="F64" s="6"/>
      <c r="I64" s="1"/>
      <c r="J64" s="7"/>
    </row>
    <row r="65" spans="1:16">
      <c r="A65" s="1"/>
      <c r="B65" s="6"/>
      <c r="C65" s="6"/>
      <c r="D65" s="6"/>
      <c r="F65" s="7"/>
      <c r="G65" s="1"/>
      <c r="H65" s="1"/>
      <c r="I65" s="1"/>
    </row>
    <row r="66" spans="1:16" ht="15.75" thickBot="1">
      <c r="A66" s="1"/>
      <c r="B66" s="6"/>
      <c r="C66" s="6"/>
      <c r="D66" s="6"/>
      <c r="F66" s="7"/>
      <c r="G66" s="1"/>
      <c r="H66" s="1"/>
      <c r="I66" s="1"/>
    </row>
    <row r="67" spans="1:16" ht="15.75" thickBot="1">
      <c r="D67" s="6"/>
      <c r="E67" s="6"/>
      <c r="F67" s="6"/>
      <c r="H67" s="176"/>
      <c r="I67" s="183" t="s">
        <v>164</v>
      </c>
      <c r="J67" s="174" t="s">
        <v>138</v>
      </c>
      <c r="K67" s="174" t="s">
        <v>139</v>
      </c>
      <c r="L67" s="174" t="s">
        <v>140</v>
      </c>
      <c r="M67" s="174" t="s">
        <v>141</v>
      </c>
      <c r="N67" s="174" t="s">
        <v>142</v>
      </c>
      <c r="O67" s="174" t="s">
        <v>143</v>
      </c>
      <c r="P67" s="175" t="s">
        <v>194</v>
      </c>
    </row>
    <row r="68" spans="1:16" ht="15.75" thickBot="1">
      <c r="A68" s="4" t="s">
        <v>144</v>
      </c>
      <c r="D68" s="6"/>
      <c r="E68" s="6"/>
      <c r="F68" s="6"/>
      <c r="H68" s="177" t="s">
        <v>39</v>
      </c>
      <c r="I68" s="180">
        <v>14984.650000000001</v>
      </c>
      <c r="J68" s="181">
        <v>15030.4</v>
      </c>
      <c r="K68" s="181">
        <v>15776</v>
      </c>
      <c r="L68" s="181">
        <v>15769.6</v>
      </c>
      <c r="M68" s="181">
        <v>15772.8</v>
      </c>
      <c r="N68" s="301">
        <v>15827.2</v>
      </c>
      <c r="O68" s="301">
        <v>15843.199999999999</v>
      </c>
      <c r="P68" s="295">
        <f>H36</f>
        <v>15804.8</v>
      </c>
    </row>
    <row r="69" spans="1:16" ht="16.5" thickBot="1">
      <c r="A69" s="115" t="s">
        <v>80</v>
      </c>
      <c r="B69" s="163">
        <v>0.97780926745475449</v>
      </c>
      <c r="D69" s="172" t="s">
        <v>148</v>
      </c>
      <c r="E69" s="32"/>
      <c r="F69" s="173"/>
      <c r="G69" s="1"/>
      <c r="H69" s="177" t="s">
        <v>46</v>
      </c>
      <c r="I69" s="177">
        <v>5995.44</v>
      </c>
      <c r="J69" s="181">
        <v>6224.4000000000005</v>
      </c>
      <c r="K69" s="181">
        <v>6085.08</v>
      </c>
      <c r="L69" s="181">
        <v>2113.08</v>
      </c>
      <c r="M69" s="181">
        <v>2121.2400000000002</v>
      </c>
      <c r="N69" s="291">
        <v>1982.28</v>
      </c>
      <c r="O69" s="291">
        <v>2114.7599999999998</v>
      </c>
      <c r="P69" s="295">
        <f t="shared" ref="P69:P94" si="10">H37</f>
        <v>2935.92</v>
      </c>
    </row>
    <row r="70" spans="1:16" ht="16.5" thickBot="1">
      <c r="A70" s="116" t="s">
        <v>81</v>
      </c>
      <c r="B70" s="165">
        <v>0.1617835471929083</v>
      </c>
      <c r="D70" s="225" t="s">
        <v>16</v>
      </c>
      <c r="E70" s="274" t="s">
        <v>149</v>
      </c>
      <c r="F70" s="229" t="s">
        <v>165</v>
      </c>
      <c r="G70" s="1"/>
      <c r="H70" s="177" t="s">
        <v>48</v>
      </c>
      <c r="I70" s="177">
        <v>684.18</v>
      </c>
      <c r="J70" s="181">
        <v>725.78</v>
      </c>
      <c r="K70" s="181">
        <v>685.38</v>
      </c>
      <c r="L70" s="181">
        <v>154.29</v>
      </c>
      <c r="M70" s="181">
        <v>164.565</v>
      </c>
      <c r="N70" s="291">
        <v>174.34</v>
      </c>
      <c r="O70" s="291">
        <v>158.83000000000001</v>
      </c>
      <c r="P70" s="295">
        <f t="shared" si="10"/>
        <v>230.315</v>
      </c>
    </row>
    <row r="71" spans="1:16">
      <c r="A71" s="116" t="s">
        <v>82</v>
      </c>
      <c r="B71" s="165">
        <v>0.11142503380124762</v>
      </c>
      <c r="D71" s="226">
        <v>45797</v>
      </c>
      <c r="E71" s="297">
        <v>100000</v>
      </c>
      <c r="F71" s="224"/>
      <c r="G71" s="1"/>
      <c r="H71" s="177" t="s">
        <v>51</v>
      </c>
      <c r="I71" s="177">
        <v>5922.7</v>
      </c>
      <c r="J71" s="181">
        <v>6090.7000000000007</v>
      </c>
      <c r="K71" s="181">
        <v>5963.3</v>
      </c>
      <c r="L71" s="181">
        <v>6346.9000000000005</v>
      </c>
      <c r="M71" s="181">
        <v>3739.2000000000003</v>
      </c>
      <c r="N71" s="291">
        <v>3693.6000000000004</v>
      </c>
      <c r="O71" s="291">
        <v>4123.3499999999995</v>
      </c>
      <c r="P71" s="295">
        <f t="shared" si="10"/>
        <v>3791.7000000000003</v>
      </c>
    </row>
    <row r="72" spans="1:16">
      <c r="A72" s="116"/>
      <c r="B72" s="158"/>
      <c r="D72" s="226">
        <v>45804</v>
      </c>
      <c r="E72" s="297">
        <v>101009.445218685</v>
      </c>
      <c r="F72" s="230">
        <f t="shared" ref="F72:F73" si="11">(E72-E71)/E71</f>
        <v>1.0094452186849958E-2</v>
      </c>
      <c r="G72" s="1"/>
      <c r="H72" s="177" t="s">
        <v>53</v>
      </c>
      <c r="I72" s="177">
        <v>620.79999999999995</v>
      </c>
      <c r="J72" s="181">
        <v>628.29999999999995</v>
      </c>
      <c r="K72" s="181">
        <v>615.70000000000005</v>
      </c>
      <c r="L72" s="181">
        <v>619.09999999999991</v>
      </c>
      <c r="M72" s="181">
        <v>619</v>
      </c>
      <c r="N72" s="291">
        <v>607.79999999999995</v>
      </c>
      <c r="O72" s="291">
        <v>3196.8</v>
      </c>
      <c r="P72" s="295">
        <f t="shared" si="10"/>
        <v>3302.1</v>
      </c>
    </row>
    <row r="73" spans="1:16" ht="15.75" thickBot="1">
      <c r="A73" s="117" t="s">
        <v>83</v>
      </c>
      <c r="B73" s="118">
        <v>1.0705273592797662</v>
      </c>
      <c r="C73" s="6"/>
      <c r="D73" s="226">
        <v>45811</v>
      </c>
      <c r="E73" s="297">
        <v>100495.07135784275</v>
      </c>
      <c r="F73" s="230">
        <f t="shared" si="11"/>
        <v>-5.0923342834783974E-3</v>
      </c>
      <c r="G73" s="1"/>
      <c r="H73" s="177" t="s">
        <v>24</v>
      </c>
      <c r="I73" s="177">
        <v>6336.3707999999997</v>
      </c>
      <c r="J73" s="181">
        <v>6539.6783999999998</v>
      </c>
      <c r="K73" s="181">
        <v>5294.0765000000001</v>
      </c>
      <c r="L73" s="181">
        <v>4411.7640000000001</v>
      </c>
      <c r="M73" s="181">
        <v>4271.8703999999998</v>
      </c>
      <c r="N73" s="291">
        <v>4220.6496000000006</v>
      </c>
      <c r="O73" s="291">
        <v>4335.4228000000003</v>
      </c>
      <c r="P73" s="295">
        <f t="shared" si="10"/>
        <v>4680</v>
      </c>
    </row>
    <row r="74" spans="1:16">
      <c r="A74" s="4" t="s">
        <v>145</v>
      </c>
      <c r="D74" s="227">
        <v>45818</v>
      </c>
      <c r="E74" s="297">
        <v>102092.3</v>
      </c>
      <c r="F74" s="230">
        <f>(E74-E73)/E73</f>
        <v>1.5893601751570879E-2</v>
      </c>
      <c r="H74" s="178" t="s">
        <v>56</v>
      </c>
      <c r="I74" s="178">
        <v>4791.1499999999996</v>
      </c>
      <c r="J74" s="181">
        <v>4658.3999999999996</v>
      </c>
      <c r="K74" s="181">
        <v>4637.25</v>
      </c>
      <c r="L74" s="181">
        <v>4723.6499999999996</v>
      </c>
      <c r="M74" s="181">
        <v>5061.6000000000004</v>
      </c>
      <c r="N74" s="291">
        <v>5028.3</v>
      </c>
      <c r="O74" s="291">
        <v>4851</v>
      </c>
      <c r="P74" s="295">
        <f t="shared" si="10"/>
        <v>5032.3500000000004</v>
      </c>
    </row>
    <row r="75" spans="1:16">
      <c r="D75" s="227">
        <v>45825</v>
      </c>
      <c r="E75" s="297">
        <v>102512.62</v>
      </c>
      <c r="F75" s="230">
        <f>(E75-E74)/E74</f>
        <v>4.1170587791634862E-3</v>
      </c>
      <c r="G75" s="1"/>
      <c r="H75" s="177" t="s">
        <v>59</v>
      </c>
      <c r="I75" s="177">
        <v>334.20000000000005</v>
      </c>
      <c r="J75" s="181">
        <v>330</v>
      </c>
      <c r="K75" s="181">
        <v>332.4</v>
      </c>
      <c r="L75" s="181">
        <v>319.20000000000005</v>
      </c>
      <c r="M75" s="181">
        <v>290.39999999999998</v>
      </c>
      <c r="N75" s="291">
        <v>303.59999999999997</v>
      </c>
      <c r="O75" s="291">
        <v>285</v>
      </c>
      <c r="P75" s="295">
        <f t="shared" si="10"/>
        <v>268.38</v>
      </c>
    </row>
    <row r="76" spans="1:16" ht="15.75" thickBot="1">
      <c r="A76" s="4" t="s">
        <v>146</v>
      </c>
      <c r="D76" s="227">
        <v>45832</v>
      </c>
      <c r="E76" s="302">
        <v>101618.672565585</v>
      </c>
      <c r="F76" s="230">
        <f>(E76-E75)/E75</f>
        <v>-8.7203647162173107E-3</v>
      </c>
      <c r="G76" s="1"/>
      <c r="H76" s="177" t="s">
        <v>61</v>
      </c>
      <c r="I76" s="177">
        <v>1502.1499999999999</v>
      </c>
      <c r="J76" s="181">
        <v>1578.85</v>
      </c>
      <c r="K76" s="181">
        <v>1580.8</v>
      </c>
      <c r="L76" s="181">
        <v>1605.5</v>
      </c>
      <c r="M76" s="181">
        <v>1795.3</v>
      </c>
      <c r="N76" s="291">
        <v>1721.85</v>
      </c>
      <c r="O76" s="291">
        <v>1634.1000000000001</v>
      </c>
      <c r="P76" s="295">
        <f t="shared" si="10"/>
        <v>1601.6000000000001</v>
      </c>
    </row>
    <row r="77" spans="1:16">
      <c r="A77" s="160" t="s">
        <v>80</v>
      </c>
      <c r="B77" s="164">
        <v>0.95743099848393998</v>
      </c>
      <c r="D77" s="227">
        <v>45839</v>
      </c>
      <c r="E77" s="302">
        <v>104042.20858873373</v>
      </c>
      <c r="F77" s="230">
        <f>(E77-E76)/E76</f>
        <v>2.3849317866109408E-2</v>
      </c>
      <c r="G77" s="1"/>
      <c r="H77" s="177" t="s">
        <v>63</v>
      </c>
      <c r="I77" s="177">
        <v>2971.66</v>
      </c>
      <c r="J77" s="181">
        <v>2953.06</v>
      </c>
      <c r="K77" s="181">
        <v>2934.46</v>
      </c>
      <c r="L77" s="181">
        <v>3012.5800000000004</v>
      </c>
      <c r="M77" s="181">
        <v>3027.46</v>
      </c>
      <c r="N77" s="291">
        <v>2972.9</v>
      </c>
      <c r="O77" s="291">
        <v>3066.52</v>
      </c>
      <c r="P77" s="295">
        <f t="shared" si="10"/>
        <v>3379</v>
      </c>
    </row>
    <row r="78" spans="1:16">
      <c r="A78" s="161" t="s">
        <v>81</v>
      </c>
      <c r="B78" s="165">
        <v>3.6274748952727302E-2</v>
      </c>
      <c r="D78" s="228">
        <v>45842</v>
      </c>
      <c r="E78" s="303">
        <v>105053.25646646656</v>
      </c>
      <c r="F78" s="298">
        <f>(E78-E77)/E77</f>
        <v>9.7176702748532993E-3</v>
      </c>
      <c r="G78" s="1"/>
      <c r="H78" s="177" t="s">
        <v>66</v>
      </c>
      <c r="I78" s="177">
        <v>2005.2</v>
      </c>
      <c r="J78" s="181">
        <v>2074.7999999999997</v>
      </c>
      <c r="K78" s="181">
        <v>2073.6000000000004</v>
      </c>
      <c r="L78" s="181">
        <v>2097.6</v>
      </c>
      <c r="M78" s="181">
        <v>2131.2000000000003</v>
      </c>
      <c r="N78" s="291">
        <v>2124</v>
      </c>
      <c r="O78" s="291">
        <v>2181.6</v>
      </c>
      <c r="P78" s="295">
        <f t="shared" si="10"/>
        <v>2368.7999999999997</v>
      </c>
    </row>
    <row r="79" spans="1:16">
      <c r="A79" s="161" t="s">
        <v>82</v>
      </c>
      <c r="B79" s="165">
        <v>3.9274390897343213E-2</v>
      </c>
      <c r="G79" s="1"/>
      <c r="H79" s="177" t="s">
        <v>26</v>
      </c>
      <c r="I79" s="177">
        <v>1906.3000000000002</v>
      </c>
      <c r="J79" s="181">
        <v>1928.08</v>
      </c>
      <c r="K79" s="181">
        <v>1960.64</v>
      </c>
      <c r="L79" s="181">
        <v>2009.04</v>
      </c>
      <c r="M79" s="181">
        <v>1970.76</v>
      </c>
      <c r="N79" s="291">
        <v>2013.11</v>
      </c>
      <c r="O79" s="291">
        <v>2075.04</v>
      </c>
      <c r="P79" s="295">
        <f t="shared" si="10"/>
        <v>2298.7799999999997</v>
      </c>
    </row>
    <row r="80" spans="1:16">
      <c r="A80" s="161"/>
      <c r="B80" s="158"/>
      <c r="G80" s="1"/>
      <c r="H80" s="177" t="s">
        <v>10</v>
      </c>
      <c r="I80" s="177">
        <v>18045.060000000001</v>
      </c>
      <c r="J80" s="181">
        <v>17930.22</v>
      </c>
      <c r="K80" s="181">
        <v>17982.03</v>
      </c>
      <c r="L80" s="181">
        <v>18191.25</v>
      </c>
      <c r="M80" s="181">
        <v>18284.310000000001</v>
      </c>
      <c r="N80" s="291">
        <v>18260.88</v>
      </c>
      <c r="O80" s="291">
        <v>19881.05</v>
      </c>
      <c r="P80" s="295">
        <f t="shared" si="10"/>
        <v>21516.6</v>
      </c>
    </row>
    <row r="81" spans="1:16" ht="15.75" thickBot="1">
      <c r="A81" s="162" t="s">
        <v>83</v>
      </c>
      <c r="B81" s="166">
        <v>0.65309094212998786</v>
      </c>
      <c r="G81" s="1"/>
      <c r="H81" s="177" t="s">
        <v>68</v>
      </c>
      <c r="I81" s="177">
        <v>1477.41</v>
      </c>
      <c r="J81" s="181">
        <v>1459.26</v>
      </c>
      <c r="K81" s="181">
        <v>1454.6399999999999</v>
      </c>
      <c r="L81" s="181">
        <v>1480.7099999999998</v>
      </c>
      <c r="M81" s="181">
        <v>1465.53</v>
      </c>
      <c r="N81" s="291">
        <v>1527.8999999999999</v>
      </c>
      <c r="O81" s="291">
        <v>1561.56</v>
      </c>
      <c r="P81" s="295">
        <f t="shared" si="10"/>
        <v>1671.45</v>
      </c>
    </row>
    <row r="82" spans="1:16">
      <c r="D82" s="300"/>
      <c r="H82" s="178" t="s">
        <v>71</v>
      </c>
      <c r="I82" s="178">
        <v>367.9</v>
      </c>
      <c r="J82" s="181">
        <v>359.3</v>
      </c>
      <c r="K82" s="181">
        <v>365.32</v>
      </c>
      <c r="L82" s="181">
        <v>366.66</v>
      </c>
      <c r="M82" s="181">
        <v>355.48</v>
      </c>
      <c r="N82" s="291">
        <v>343.75</v>
      </c>
      <c r="O82" s="291">
        <v>2130.3000000000002</v>
      </c>
      <c r="P82" s="295">
        <f t="shared" si="10"/>
        <v>2083.14</v>
      </c>
    </row>
    <row r="83" spans="1:16">
      <c r="A83" s="4" t="s">
        <v>147</v>
      </c>
      <c r="H83" s="178" t="s">
        <v>178</v>
      </c>
      <c r="I83" s="178"/>
      <c r="J83" s="181"/>
      <c r="K83" s="181"/>
      <c r="L83" s="181">
        <v>4455.6085376930059</v>
      </c>
      <c r="M83" s="181">
        <v>4478.2156477522249</v>
      </c>
      <c r="N83" s="291">
        <v>4202.4151811385855</v>
      </c>
      <c r="O83" s="291">
        <v>4475.1964348539923</v>
      </c>
      <c r="P83" s="295">
        <f t="shared" si="10"/>
        <v>4597.4178403755868</v>
      </c>
    </row>
    <row r="84" spans="1:16">
      <c r="H84" s="178" t="s">
        <v>176</v>
      </c>
      <c r="I84" s="178"/>
      <c r="J84" s="181"/>
      <c r="K84" s="181"/>
      <c r="L84" s="181">
        <v>622.22222222222217</v>
      </c>
      <c r="M84" s="181">
        <v>627.98264642082438</v>
      </c>
      <c r="N84" s="291">
        <v>612.60537936571666</v>
      </c>
      <c r="O84" s="291">
        <v>607.07916037865277</v>
      </c>
      <c r="P84" s="295">
        <f t="shared" si="10"/>
        <v>590.81081081081084</v>
      </c>
    </row>
    <row r="85" spans="1:16">
      <c r="H85" s="178" t="s">
        <v>179</v>
      </c>
      <c r="I85" s="178"/>
      <c r="J85" s="181"/>
      <c r="K85" s="181"/>
      <c r="L85" s="181">
        <v>3986.8686868686864</v>
      </c>
      <c r="M85" s="181">
        <v>3876.0845986984814</v>
      </c>
      <c r="N85" s="291">
        <v>3710.3572862304295</v>
      </c>
      <c r="O85" s="291">
        <v>3761.8328988887365</v>
      </c>
      <c r="P85" s="295">
        <f t="shared" si="10"/>
        <v>3628.3783783783783</v>
      </c>
    </row>
    <row r="86" spans="1:16">
      <c r="H86" s="178" t="s">
        <v>180</v>
      </c>
      <c r="I86" s="178"/>
      <c r="J86" s="181"/>
      <c r="K86" s="181"/>
      <c r="L86" s="181">
        <v>4132.5252525252527</v>
      </c>
      <c r="M86" s="181">
        <v>4137.2017353579176</v>
      </c>
      <c r="N86" s="291">
        <v>4054.5965475712569</v>
      </c>
      <c r="O86" s="291">
        <v>4078.7487995609822</v>
      </c>
      <c r="P86" s="295">
        <f t="shared" si="10"/>
        <v>4608.6486486486492</v>
      </c>
    </row>
    <row r="87" spans="1:16">
      <c r="H87" s="178" t="s">
        <v>29</v>
      </c>
      <c r="I87" s="178">
        <v>5889.436540831186</v>
      </c>
      <c r="J87" s="181">
        <v>6453.7068670994195</v>
      </c>
      <c r="K87" s="181">
        <v>6195.5040871934607</v>
      </c>
      <c r="L87" s="181">
        <v>6089.9182561307898</v>
      </c>
      <c r="M87" s="181">
        <v>5288.3393042875305</v>
      </c>
      <c r="N87" s="291">
        <v>5202.9902242668195</v>
      </c>
      <c r="O87" s="291">
        <v>5479.3010437434032</v>
      </c>
      <c r="P87" s="295">
        <f t="shared" si="10"/>
        <v>5953.7558685446011</v>
      </c>
    </row>
    <row r="88" spans="1:16">
      <c r="H88" s="178" t="s">
        <v>31</v>
      </c>
      <c r="I88" s="178">
        <v>2184.5333333333333</v>
      </c>
      <c r="J88" s="181">
        <v>2310.3635377102551</v>
      </c>
      <c r="K88" s="181">
        <v>2340.2020202020199</v>
      </c>
      <c r="L88" s="181">
        <v>2392.4579124579122</v>
      </c>
      <c r="M88" s="181">
        <v>2400.7592190889368</v>
      </c>
      <c r="N88" s="291">
        <v>2372.8087782684333</v>
      </c>
      <c r="O88" s="291">
        <v>5309.9190561119494</v>
      </c>
      <c r="P88" s="295">
        <f t="shared" si="10"/>
        <v>6362.1621621621625</v>
      </c>
    </row>
    <row r="89" spans="1:16">
      <c r="H89" s="178" t="s">
        <v>33</v>
      </c>
      <c r="I89" s="178">
        <v>7966.8</v>
      </c>
      <c r="J89" s="181">
        <v>7676.64</v>
      </c>
      <c r="K89" s="181">
        <v>7830</v>
      </c>
      <c r="L89" s="181">
        <v>7842.9600000000009</v>
      </c>
      <c r="M89" s="181">
        <v>7691.0399999999991</v>
      </c>
      <c r="N89" s="291">
        <v>7713.36</v>
      </c>
      <c r="O89" s="291">
        <v>3153.6000000000004</v>
      </c>
      <c r="P89" s="295">
        <f t="shared" si="10"/>
        <v>3470.1</v>
      </c>
    </row>
    <row r="90" spans="1:16">
      <c r="H90" s="178" t="s">
        <v>35</v>
      </c>
      <c r="I90" s="178">
        <v>1993.3</v>
      </c>
      <c r="J90" s="181">
        <v>1968.5</v>
      </c>
      <c r="K90" s="181">
        <v>1969.74</v>
      </c>
      <c r="L90" s="181">
        <v>1985.2400000000002</v>
      </c>
      <c r="M90" s="181">
        <v>1992.68</v>
      </c>
      <c r="N90" s="291">
        <v>2034.2200000000003</v>
      </c>
      <c r="O90" s="291">
        <v>2021.2</v>
      </c>
      <c r="P90" s="295">
        <f t="shared" si="10"/>
        <v>2032.3600000000001</v>
      </c>
    </row>
    <row r="91" spans="1:16">
      <c r="H91" s="178" t="s">
        <v>41</v>
      </c>
      <c r="I91" s="178">
        <v>85979.240674164525</v>
      </c>
      <c r="J91" s="181">
        <v>86920.438804809673</v>
      </c>
      <c r="K91" s="181">
        <v>86076.122607395504</v>
      </c>
      <c r="L91" s="181">
        <v>94728.724867897909</v>
      </c>
      <c r="M91" s="181">
        <v>91563.018551605914</v>
      </c>
      <c r="N91" s="291">
        <v>90705.512996841251</v>
      </c>
      <c r="O91" s="291">
        <v>96325.410193537711</v>
      </c>
      <c r="P91" s="295">
        <f t="shared" si="10"/>
        <v>102208.5687089202</v>
      </c>
    </row>
    <row r="92" spans="1:16">
      <c r="H92" s="178" t="s">
        <v>11</v>
      </c>
      <c r="I92" s="178">
        <v>10004.4</v>
      </c>
      <c r="J92" s="181">
        <v>10004.4</v>
      </c>
      <c r="K92" s="181">
        <v>10355.15</v>
      </c>
      <c r="L92" s="181">
        <v>3299.7987588849446</v>
      </c>
      <c r="M92" s="181">
        <v>6835.7782934503066</v>
      </c>
      <c r="N92" s="291">
        <v>6835.78</v>
      </c>
      <c r="O92" s="291">
        <v>3547.9612217315662</v>
      </c>
      <c r="P92" s="295">
        <f t="shared" si="10"/>
        <v>3547.9612217315662</v>
      </c>
    </row>
    <row r="93" spans="1:16">
      <c r="H93" s="178" t="s">
        <v>37</v>
      </c>
      <c r="I93" s="178">
        <v>2000</v>
      </c>
      <c r="J93" s="181">
        <v>2034.7259902333153</v>
      </c>
      <c r="K93" s="181">
        <v>2020.2020202020201</v>
      </c>
      <c r="L93" s="181">
        <v>2020.2020202020201</v>
      </c>
      <c r="M93" s="181">
        <v>2033.6225596529284</v>
      </c>
      <c r="N93" s="291">
        <v>2007.226013649137</v>
      </c>
      <c r="O93" s="291">
        <v>2057.8954589106875</v>
      </c>
      <c r="P93" s="295">
        <f t="shared" si="10"/>
        <v>2027.0270270270271</v>
      </c>
    </row>
    <row r="94" spans="1:16">
      <c r="H94" s="178" t="s">
        <v>28</v>
      </c>
      <c r="I94" s="178">
        <v>2016.3548784586087</v>
      </c>
      <c r="J94" s="181">
        <v>2049.8804236419542</v>
      </c>
      <c r="K94" s="181">
        <v>2043.5967302452316</v>
      </c>
      <c r="L94" s="181">
        <v>2043.5967302452316</v>
      </c>
      <c r="M94" s="181">
        <v>2080.2033976655498</v>
      </c>
      <c r="N94" s="291">
        <v>2070.1552616446234</v>
      </c>
      <c r="O94" s="291">
        <v>2110.9417145537705</v>
      </c>
      <c r="P94" s="295">
        <f t="shared" si="10"/>
        <v>2112.676056338028</v>
      </c>
    </row>
    <row r="95" spans="1:16" ht="15.75" thickBot="1">
      <c r="H95" s="179" t="s">
        <v>149</v>
      </c>
      <c r="I95" s="179">
        <v>99999.995552623106</v>
      </c>
      <c r="J95" s="182">
        <v>101009.44521868494</v>
      </c>
      <c r="K95" s="182">
        <v>100495.07135784275</v>
      </c>
      <c r="L95" s="182">
        <v>102092.32237723011</v>
      </c>
      <c r="M95" s="182">
        <v>102512.6228023747</v>
      </c>
      <c r="N95" s="292">
        <v>101618.67427213502</v>
      </c>
      <c r="O95" s="292">
        <v>104042.20858873373</v>
      </c>
      <c r="P95" s="295">
        <f>H63</f>
        <v>109896.23301401682</v>
      </c>
    </row>
  </sheetData>
  <phoneticPr fontId="4" type="noConversion"/>
  <conditionalFormatting sqref="F72:F78">
    <cfRule type="colorScale" priority="1">
      <colorScale>
        <cfvo type="min"/>
        <cfvo type="percentile" val="50"/>
        <cfvo type="max"/>
        <color rgb="FFF8696B"/>
        <color rgb="FFFCFCFF"/>
        <color rgb="FF63BE7B"/>
      </colorScale>
    </cfRule>
    <cfRule type="cellIs" dxfId="54" priority="2" operator="greaterThan">
      <formula>0</formula>
    </cfRule>
  </conditionalFormatting>
  <conditionalFormatting sqref="J36:J62">
    <cfRule type="cellIs" dxfId="53" priority="13" operator="lessThan">
      <formula>0</formula>
    </cfRule>
    <cfRule type="cellIs" dxfId="52" priority="14" operator="greaterThan">
      <formula>0</formula>
    </cfRule>
  </conditionalFormatting>
  <pageMargins left="0.7" right="0.7" top="0.75" bottom="0.75" header="0.3" footer="0.3"/>
  <pageSetup paperSize="9" scale="55"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36A75-F4CE-4A98-94BC-42D7360AAED8}">
  <dimension ref="A1:O23"/>
  <sheetViews>
    <sheetView workbookViewId="0">
      <selection activeCell="G22" sqref="G22:J22"/>
    </sheetView>
  </sheetViews>
  <sheetFormatPr defaultRowHeight="15.75"/>
  <cols>
    <col min="1" max="2" width="10.375" bestFit="1" customWidth="1"/>
    <col min="3" max="3" width="5.375" bestFit="1" customWidth="1"/>
    <col min="4" max="4" width="38.875" bestFit="1" customWidth="1"/>
    <col min="5" max="5" width="13.125" bestFit="1" customWidth="1"/>
    <col min="6" max="6" width="15.125" bestFit="1" customWidth="1"/>
    <col min="7" max="7" width="5.875" bestFit="1" customWidth="1"/>
    <col min="8" max="8" width="19.5" bestFit="1" customWidth="1"/>
    <col min="9" max="9" width="26.625" bestFit="1" customWidth="1"/>
    <col min="10" max="10" width="16.125" bestFit="1" customWidth="1"/>
    <col min="15" max="15" width="10.125" bestFit="1" customWidth="1"/>
  </cols>
  <sheetData>
    <row r="1" spans="1:15" ht="16.5" thickBot="1">
      <c r="A1" s="237" t="s">
        <v>166</v>
      </c>
      <c r="B1" s="238" t="s">
        <v>16</v>
      </c>
      <c r="C1" s="238" t="s">
        <v>169</v>
      </c>
      <c r="D1" s="238" t="s">
        <v>170</v>
      </c>
      <c r="E1" s="238" t="s">
        <v>171</v>
      </c>
      <c r="F1" s="238" t="s">
        <v>172</v>
      </c>
      <c r="G1" s="238" t="s">
        <v>173</v>
      </c>
      <c r="H1" s="238" t="s">
        <v>174</v>
      </c>
      <c r="I1" s="238" t="s">
        <v>175</v>
      </c>
      <c r="J1" s="239" t="s">
        <v>160</v>
      </c>
    </row>
    <row r="2" spans="1:15">
      <c r="A2" s="231" t="s">
        <v>167</v>
      </c>
      <c r="B2" s="232">
        <v>45804</v>
      </c>
      <c r="C2" t="s">
        <v>24</v>
      </c>
      <c r="D2" t="s">
        <v>55</v>
      </c>
      <c r="E2" t="s">
        <v>25</v>
      </c>
      <c r="F2" t="s">
        <v>11</v>
      </c>
      <c r="G2">
        <v>0.01</v>
      </c>
      <c r="H2">
        <v>108994.64</v>
      </c>
      <c r="I2">
        <f t="shared" ref="I2:I8" si="0">G2*H2</f>
        <v>1089.9464</v>
      </c>
      <c r="J2" s="233">
        <f>I2</f>
        <v>1089.9464</v>
      </c>
    </row>
    <row r="3" spans="1:15">
      <c r="A3" s="231" t="s">
        <v>167</v>
      </c>
      <c r="B3" s="232">
        <v>45810</v>
      </c>
      <c r="C3" t="s">
        <v>48</v>
      </c>
      <c r="D3" t="s">
        <v>49</v>
      </c>
      <c r="E3" t="s">
        <v>50</v>
      </c>
      <c r="F3" t="s">
        <v>11</v>
      </c>
      <c r="G3">
        <v>1.5</v>
      </c>
      <c r="H3">
        <v>342.69</v>
      </c>
      <c r="I3">
        <f t="shared" si="0"/>
        <v>514.03499999999997</v>
      </c>
      <c r="J3" s="233">
        <f>I3</f>
        <v>514.03499999999997</v>
      </c>
    </row>
    <row r="4" spans="1:15">
      <c r="A4" s="231"/>
      <c r="C4" t="s">
        <v>46</v>
      </c>
      <c r="D4" t="s">
        <v>47</v>
      </c>
      <c r="E4" t="s">
        <v>45</v>
      </c>
      <c r="F4" t="s">
        <v>11</v>
      </c>
      <c r="G4">
        <v>26</v>
      </c>
      <c r="H4">
        <v>169.03</v>
      </c>
      <c r="I4">
        <f t="shared" si="0"/>
        <v>4394.78</v>
      </c>
      <c r="J4" s="233">
        <f>I4</f>
        <v>4394.78</v>
      </c>
    </row>
    <row r="5" spans="1:15">
      <c r="A5" s="231"/>
      <c r="C5" t="s">
        <v>24</v>
      </c>
      <c r="D5" t="s">
        <v>55</v>
      </c>
      <c r="E5" t="s">
        <v>25</v>
      </c>
      <c r="F5" t="s">
        <v>11</v>
      </c>
      <c r="G5">
        <v>0.01</v>
      </c>
      <c r="H5">
        <v>105881.53</v>
      </c>
      <c r="I5">
        <f t="shared" si="0"/>
        <v>1058.8153</v>
      </c>
      <c r="J5" s="233">
        <f>I5</f>
        <v>1058.8153</v>
      </c>
      <c r="O5" s="289"/>
    </row>
    <row r="6" spans="1:15">
      <c r="A6" s="231" t="s">
        <v>167</v>
      </c>
      <c r="B6" s="232">
        <v>45817</v>
      </c>
      <c r="C6" t="s">
        <v>51</v>
      </c>
      <c r="D6" t="s">
        <v>52</v>
      </c>
      <c r="E6" t="s">
        <v>50</v>
      </c>
      <c r="F6" t="s">
        <v>11</v>
      </c>
      <c r="G6">
        <v>30</v>
      </c>
      <c r="H6">
        <v>90.67</v>
      </c>
      <c r="I6">
        <f t="shared" si="0"/>
        <v>2720.1</v>
      </c>
      <c r="J6" s="233">
        <f>I6</f>
        <v>2720.1</v>
      </c>
    </row>
    <row r="7" spans="1:15">
      <c r="A7" s="231"/>
      <c r="B7" s="232"/>
      <c r="C7" t="s">
        <v>29</v>
      </c>
      <c r="D7" t="s">
        <v>30</v>
      </c>
      <c r="E7" t="s">
        <v>73</v>
      </c>
      <c r="F7" t="s">
        <v>28</v>
      </c>
      <c r="G7">
        <v>0.4</v>
      </c>
      <c r="H7">
        <v>1788</v>
      </c>
      <c r="I7">
        <f t="shared" si="0"/>
        <v>715.2</v>
      </c>
      <c r="J7" s="233">
        <f>I7/L10</f>
        <v>815.87953456536616</v>
      </c>
    </row>
    <row r="8" spans="1:15">
      <c r="A8" s="231" t="s">
        <v>193</v>
      </c>
      <c r="B8" s="232">
        <v>45831</v>
      </c>
      <c r="C8" t="s">
        <v>33</v>
      </c>
      <c r="D8" t="s">
        <v>34</v>
      </c>
      <c r="E8" t="s">
        <v>74</v>
      </c>
      <c r="F8" t="s">
        <v>11</v>
      </c>
      <c r="G8">
        <v>42</v>
      </c>
      <c r="H8">
        <v>107.13</v>
      </c>
      <c r="I8">
        <f t="shared" si="0"/>
        <v>4499.46</v>
      </c>
      <c r="J8" s="233">
        <f>I8</f>
        <v>4499.46</v>
      </c>
    </row>
    <row r="9" spans="1:15" ht="16.5" thickBot="1">
      <c r="A9" s="231"/>
      <c r="B9" s="232"/>
      <c r="J9" s="233"/>
    </row>
    <row r="10" spans="1:15" ht="16.5" thickBot="1">
      <c r="A10" s="234"/>
      <c r="B10" s="235"/>
      <c r="C10" s="235"/>
      <c r="D10" s="235"/>
      <c r="E10" s="235"/>
      <c r="F10" s="235"/>
      <c r="G10" s="235"/>
      <c r="H10" s="235"/>
      <c r="I10" s="235"/>
      <c r="J10" s="236"/>
      <c r="K10" s="28" t="s">
        <v>42</v>
      </c>
      <c r="L10" s="29">
        <v>0.87660000000000005</v>
      </c>
      <c r="N10">
        <v>6835.78</v>
      </c>
    </row>
    <row r="11" spans="1:15" ht="16.5" thickBot="1">
      <c r="K11" s="28" t="s">
        <v>43</v>
      </c>
      <c r="L11" s="29">
        <v>0.73870000000000002</v>
      </c>
      <c r="N11">
        <f>N10+J8-(SUM(J18:J22))</f>
        <v>3547.9612217315662</v>
      </c>
    </row>
    <row r="12" spans="1:15" ht="16.5" thickBot="1">
      <c r="A12" s="240" t="s">
        <v>168</v>
      </c>
      <c r="B12" s="238" t="s">
        <v>16</v>
      </c>
      <c r="C12" s="238" t="s">
        <v>169</v>
      </c>
      <c r="D12" s="238" t="s">
        <v>170</v>
      </c>
      <c r="E12" s="238" t="s">
        <v>171</v>
      </c>
      <c r="F12" s="238" t="s">
        <v>172</v>
      </c>
      <c r="G12" s="238" t="s">
        <v>173</v>
      </c>
      <c r="H12" s="238" t="s">
        <v>174</v>
      </c>
      <c r="I12" s="238" t="s">
        <v>175</v>
      </c>
      <c r="J12" s="239" t="s">
        <v>160</v>
      </c>
    </row>
    <row r="13" spans="1:15">
      <c r="A13" s="231" t="s">
        <v>167</v>
      </c>
      <c r="B13" s="232">
        <v>45804</v>
      </c>
      <c r="C13" t="s">
        <v>39</v>
      </c>
      <c r="D13" t="s">
        <v>40</v>
      </c>
      <c r="E13" t="s">
        <v>44</v>
      </c>
      <c r="F13" t="s">
        <v>11</v>
      </c>
      <c r="G13">
        <v>15</v>
      </c>
      <c r="H13">
        <v>49.28</v>
      </c>
      <c r="I13">
        <f>G13*H13</f>
        <v>739.2</v>
      </c>
      <c r="J13" s="233">
        <f>I13</f>
        <v>739.2</v>
      </c>
    </row>
    <row r="14" spans="1:15">
      <c r="A14" s="231" t="s">
        <v>167</v>
      </c>
      <c r="B14" s="232">
        <v>45810</v>
      </c>
      <c r="C14" s="263" t="s">
        <v>176</v>
      </c>
      <c r="D14" s="156" t="s">
        <v>188</v>
      </c>
      <c r="E14" s="156" t="s">
        <v>189</v>
      </c>
      <c r="F14" s="264" t="s">
        <v>37</v>
      </c>
      <c r="G14">
        <v>0.1</v>
      </c>
      <c r="H14">
        <v>4651</v>
      </c>
      <c r="I14">
        <f>G14*H14</f>
        <v>465.1</v>
      </c>
      <c r="J14" s="233">
        <f>I14/0.7425</f>
        <v>626.39730639730635</v>
      </c>
    </row>
    <row r="15" spans="1:15">
      <c r="A15" s="231"/>
      <c r="C15" s="263" t="s">
        <v>178</v>
      </c>
      <c r="D15" s="156" t="s">
        <v>190</v>
      </c>
      <c r="E15" s="156" t="s">
        <v>70</v>
      </c>
      <c r="F15" s="156" t="s">
        <v>28</v>
      </c>
      <c r="G15">
        <v>50</v>
      </c>
      <c r="H15">
        <v>76.709999999999994</v>
      </c>
      <c r="I15">
        <f t="shared" ref="I15:I22" si="1">G15*H15</f>
        <v>3835.4999999999995</v>
      </c>
      <c r="J15" s="233">
        <f>I15/0.8808</f>
        <v>4354.5640326975472</v>
      </c>
    </row>
    <row r="16" spans="1:15">
      <c r="A16" s="231"/>
      <c r="C16" s="263" t="s">
        <v>179</v>
      </c>
      <c r="D16" s="156" t="s">
        <v>191</v>
      </c>
      <c r="E16" s="156" t="s">
        <v>189</v>
      </c>
      <c r="F16" s="156" t="s">
        <v>37</v>
      </c>
      <c r="G16">
        <v>1.5</v>
      </c>
      <c r="H16">
        <v>1988</v>
      </c>
      <c r="I16">
        <f t="shared" si="1"/>
        <v>2982</v>
      </c>
      <c r="J16" s="233">
        <f>I16/0.7425</f>
        <v>4016.1616161616157</v>
      </c>
    </row>
    <row r="17" spans="1:10">
      <c r="A17" s="231"/>
      <c r="C17" s="263" t="s">
        <v>180</v>
      </c>
      <c r="D17" s="156" t="s">
        <v>192</v>
      </c>
      <c r="E17" s="156" t="s">
        <v>189</v>
      </c>
      <c r="F17" s="156" t="s">
        <v>37</v>
      </c>
      <c r="G17">
        <v>0.6</v>
      </c>
      <c r="H17">
        <v>4982</v>
      </c>
      <c r="I17">
        <f t="shared" si="1"/>
        <v>2989.2</v>
      </c>
      <c r="J17" s="233">
        <f>I17/0.7425</f>
        <v>4025.8585858585852</v>
      </c>
    </row>
    <row r="18" spans="1:10">
      <c r="A18" t="s">
        <v>167</v>
      </c>
      <c r="B18" s="232">
        <v>45831</v>
      </c>
      <c r="C18" s="263" t="s">
        <v>53</v>
      </c>
      <c r="D18" s="156" t="s">
        <v>54</v>
      </c>
      <c r="E18" s="156" t="s">
        <v>50</v>
      </c>
      <c r="F18" s="156" t="s">
        <v>11</v>
      </c>
      <c r="G18">
        <v>35</v>
      </c>
      <c r="H18">
        <v>60.78</v>
      </c>
      <c r="I18">
        <f t="shared" si="1"/>
        <v>2127.3000000000002</v>
      </c>
      <c r="J18" s="233">
        <f>I18</f>
        <v>2127.3000000000002</v>
      </c>
    </row>
    <row r="19" spans="1:10">
      <c r="A19" s="231"/>
      <c r="C19" s="263" t="s">
        <v>71</v>
      </c>
      <c r="D19" s="156" t="s">
        <v>72</v>
      </c>
      <c r="E19" s="156" t="s">
        <v>70</v>
      </c>
      <c r="F19" s="156" t="s">
        <v>11</v>
      </c>
      <c r="G19">
        <v>5</v>
      </c>
      <c r="H19">
        <v>343.75</v>
      </c>
      <c r="I19">
        <f t="shared" si="1"/>
        <v>1718.75</v>
      </c>
      <c r="J19" s="233">
        <f>I19</f>
        <v>1718.75</v>
      </c>
    </row>
    <row r="20" spans="1:10">
      <c r="A20" s="231"/>
      <c r="C20" s="263" t="s">
        <v>31</v>
      </c>
      <c r="D20" s="156" t="s">
        <v>32</v>
      </c>
      <c r="E20" s="156" t="s">
        <v>73</v>
      </c>
      <c r="F20" s="156" t="s">
        <v>37</v>
      </c>
      <c r="G20">
        <v>2</v>
      </c>
      <c r="H20">
        <v>886.6</v>
      </c>
      <c r="I20">
        <f t="shared" si="1"/>
        <v>1773.2</v>
      </c>
      <c r="J20" s="233">
        <f>I20/0.7473</f>
        <v>2372.8087782684333</v>
      </c>
    </row>
    <row r="21" spans="1:10">
      <c r="A21" s="231"/>
      <c r="C21" s="263" t="s">
        <v>51</v>
      </c>
      <c r="D21" s="156" t="s">
        <v>52</v>
      </c>
      <c r="E21" s="156" t="s">
        <v>50</v>
      </c>
      <c r="F21" s="156" t="s">
        <v>11</v>
      </c>
      <c r="G21">
        <v>5</v>
      </c>
      <c r="H21">
        <v>92.34</v>
      </c>
      <c r="I21">
        <f t="shared" si="1"/>
        <v>461.70000000000005</v>
      </c>
      <c r="J21" s="233">
        <f>I21</f>
        <v>461.70000000000005</v>
      </c>
    </row>
    <row r="22" spans="1:10">
      <c r="A22" s="231"/>
      <c r="C22" s="263" t="s">
        <v>10</v>
      </c>
      <c r="D22" s="156" t="s">
        <v>12</v>
      </c>
      <c r="E22" s="156" t="s">
        <v>65</v>
      </c>
      <c r="F22" s="156" t="s">
        <v>11</v>
      </c>
      <c r="G22">
        <v>2</v>
      </c>
      <c r="H22">
        <v>553.36</v>
      </c>
      <c r="I22">
        <f t="shared" si="1"/>
        <v>1106.72</v>
      </c>
      <c r="J22" s="233">
        <f>I22</f>
        <v>1106.72</v>
      </c>
    </row>
    <row r="23" spans="1:10" ht="16.5" thickBot="1">
      <c r="A23" s="234"/>
      <c r="B23" s="293"/>
      <c r="C23" s="235"/>
      <c r="D23" s="235"/>
      <c r="E23" s="235"/>
      <c r="F23" s="235"/>
      <c r="G23" s="235"/>
      <c r="H23" s="235"/>
      <c r="I23" s="235"/>
      <c r="J23" s="23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0CDC1-86B2-48AA-A2BD-2A4882FCE048}">
  <dimension ref="A1:BL1"/>
  <sheetViews>
    <sheetView topLeftCell="AW1" zoomScale="64" zoomScaleNormal="100" workbookViewId="0">
      <selection activeCell="BI51" sqref="BI51"/>
    </sheetView>
  </sheetViews>
  <sheetFormatPr defaultRowHeight="15.75"/>
  <sheetData>
    <row r="1" spans="1:64" s="184" customFormat="1" ht="15">
      <c r="A1" s="184" t="s">
        <v>15</v>
      </c>
      <c r="J1" s="184" t="s">
        <v>138</v>
      </c>
      <c r="S1" s="184" t="s">
        <v>139</v>
      </c>
      <c r="AB1" s="184" t="s">
        <v>140</v>
      </c>
      <c r="AK1" s="184" t="s">
        <v>141</v>
      </c>
      <c r="AT1" s="184" t="s">
        <v>142</v>
      </c>
      <c r="BC1" s="184" t="s">
        <v>143</v>
      </c>
      <c r="BL1" s="184" t="s">
        <v>195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B9BD2-69A3-433D-86E4-0475EB56F797}">
  <dimension ref="A1:Q150"/>
  <sheetViews>
    <sheetView tabSelected="1" zoomScale="79" workbookViewId="0">
      <selection activeCell="L50" sqref="L50"/>
    </sheetView>
  </sheetViews>
  <sheetFormatPr defaultRowHeight="15.75"/>
  <cols>
    <col min="6" max="6" width="11.125" bestFit="1" customWidth="1"/>
    <col min="7" max="7" width="10.125" style="286" bestFit="1" customWidth="1"/>
    <col min="8" max="8" width="10.125" bestFit="1" customWidth="1"/>
    <col min="9" max="9" width="11.25" bestFit="1" customWidth="1"/>
    <col min="10" max="10" width="13.625" bestFit="1" customWidth="1"/>
    <col min="11" max="11" width="11.875" bestFit="1" customWidth="1"/>
    <col min="12" max="12" width="12.25" bestFit="1" customWidth="1"/>
  </cols>
  <sheetData>
    <row r="1" spans="1:17" ht="60.75" thickBot="1">
      <c r="A1" s="184"/>
      <c r="B1" s="185"/>
      <c r="C1" s="184"/>
      <c r="D1" s="184"/>
      <c r="E1" s="184"/>
      <c r="F1" s="186" t="s">
        <v>153</v>
      </c>
      <c r="G1" s="282" t="s">
        <v>154</v>
      </c>
      <c r="H1" s="188" t="s">
        <v>155</v>
      </c>
      <c r="I1" s="188" t="s">
        <v>156</v>
      </c>
      <c r="J1" s="188" t="s">
        <v>160</v>
      </c>
      <c r="K1" s="189" t="s">
        <v>157</v>
      </c>
      <c r="L1" s="190" t="s">
        <v>158</v>
      </c>
      <c r="M1" s="191"/>
      <c r="N1" s="184"/>
      <c r="O1" s="184"/>
    </row>
    <row r="2" spans="1:17">
      <c r="A2" s="192" t="s">
        <v>159</v>
      </c>
      <c r="B2" s="184" t="s">
        <v>46</v>
      </c>
      <c r="C2" s="193"/>
      <c r="D2" s="193"/>
      <c r="E2" s="193"/>
      <c r="F2" s="194">
        <v>45796</v>
      </c>
      <c r="G2" s="283">
        <v>36</v>
      </c>
      <c r="H2" s="196">
        <v>166.54</v>
      </c>
      <c r="I2" s="196">
        <v>5995.44</v>
      </c>
      <c r="J2" s="196">
        <v>5995.44</v>
      </c>
      <c r="K2" s="196"/>
      <c r="L2" s="197"/>
      <c r="M2" s="198"/>
      <c r="N2" s="184"/>
      <c r="O2" s="184"/>
    </row>
    <row r="3" spans="1:17">
      <c r="A3" s="199" t="s">
        <v>150</v>
      </c>
      <c r="B3" s="184" t="s">
        <v>47</v>
      </c>
      <c r="C3" s="200"/>
      <c r="D3" s="200"/>
      <c r="E3" s="201"/>
      <c r="F3" s="202">
        <v>45804</v>
      </c>
      <c r="G3" s="281">
        <v>36</v>
      </c>
      <c r="H3" s="184">
        <v>172.9</v>
      </c>
      <c r="I3" s="184">
        <v>6224.4000000000005</v>
      </c>
      <c r="J3" s="184">
        <v>6224.4000000000005</v>
      </c>
      <c r="K3" s="203">
        <f t="shared" ref="K3:K9" si="0">J3-J2</f>
        <v>228.96000000000095</v>
      </c>
      <c r="L3" s="204">
        <f>K3/J2</f>
        <v>3.8189023657980228E-2</v>
      </c>
      <c r="M3" s="184"/>
      <c r="N3" s="184"/>
      <c r="O3" s="184"/>
    </row>
    <row r="4" spans="1:17">
      <c r="A4" s="199" t="s">
        <v>151</v>
      </c>
      <c r="B4" s="184" t="s">
        <v>45</v>
      </c>
      <c r="C4" s="200"/>
      <c r="D4" s="200"/>
      <c r="E4" s="201"/>
      <c r="F4" s="202">
        <v>45810</v>
      </c>
      <c r="G4" s="279">
        <v>36</v>
      </c>
      <c r="H4" s="203">
        <v>169.03</v>
      </c>
      <c r="I4" s="201">
        <v>6085.08</v>
      </c>
      <c r="J4" s="201">
        <v>6085.08</v>
      </c>
      <c r="K4" s="203">
        <f t="shared" si="0"/>
        <v>-139.32000000000062</v>
      </c>
      <c r="L4" s="204">
        <f>K4/J3</f>
        <v>-2.2382880277617218E-2</v>
      </c>
      <c r="M4" s="184" t="s">
        <v>166</v>
      </c>
      <c r="N4" s="184">
        <v>26</v>
      </c>
      <c r="O4" s="184">
        <v>169.03</v>
      </c>
      <c r="P4">
        <v>4394.78</v>
      </c>
      <c r="Q4">
        <v>4394.78</v>
      </c>
    </row>
    <row r="5" spans="1:17">
      <c r="A5" s="199" t="s">
        <v>152</v>
      </c>
      <c r="B5" s="184" t="s">
        <v>11</v>
      </c>
      <c r="C5" s="200"/>
      <c r="D5" s="200"/>
      <c r="E5" s="201"/>
      <c r="F5" s="275">
        <v>45817</v>
      </c>
      <c r="G5" s="279">
        <v>12</v>
      </c>
      <c r="H5" s="191">
        <v>176.09</v>
      </c>
      <c r="I5" s="184">
        <v>2113.08</v>
      </c>
      <c r="J5" s="184">
        <v>2113.08</v>
      </c>
      <c r="K5" s="203">
        <f t="shared" si="0"/>
        <v>-3972</v>
      </c>
      <c r="L5" s="204">
        <f>(K5+Q4)/J4</f>
        <v>6.9478133401697229E-2</v>
      </c>
      <c r="M5" s="184"/>
      <c r="N5" s="184"/>
      <c r="O5" s="184"/>
    </row>
    <row r="6" spans="1:17">
      <c r="A6" s="205"/>
      <c r="B6" s="191"/>
      <c r="C6" s="206"/>
      <c r="D6" s="203"/>
      <c r="E6" s="203"/>
      <c r="F6" s="290">
        <v>45824</v>
      </c>
      <c r="G6" s="281">
        <v>12</v>
      </c>
      <c r="H6" s="184">
        <v>176.77</v>
      </c>
      <c r="I6" s="184">
        <v>2121.2400000000002</v>
      </c>
      <c r="J6" s="184">
        <v>2121.2400000000002</v>
      </c>
      <c r="K6" s="203">
        <f t="shared" si="0"/>
        <v>8.1600000000003092</v>
      </c>
      <c r="L6" s="204">
        <f>K6/J5</f>
        <v>3.8616616502926107E-3</v>
      </c>
      <c r="M6" s="184"/>
      <c r="N6" s="184"/>
      <c r="O6" s="184"/>
    </row>
    <row r="7" spans="1:17">
      <c r="A7" s="207"/>
      <c r="B7" s="184"/>
      <c r="C7" s="184"/>
      <c r="D7" s="184"/>
      <c r="E7" s="184"/>
      <c r="F7" s="290">
        <v>45831</v>
      </c>
      <c r="G7" s="281">
        <v>12</v>
      </c>
      <c r="H7" s="184">
        <v>165.19</v>
      </c>
      <c r="I7" s="184">
        <v>1982.28</v>
      </c>
      <c r="J7" s="184">
        <v>1982.28</v>
      </c>
      <c r="K7" s="203">
        <f t="shared" si="0"/>
        <v>-138.96000000000026</v>
      </c>
      <c r="L7" s="204">
        <f t="shared" ref="L7:L9" si="1">K7/J6</f>
        <v>-6.5508853312213733E-2</v>
      </c>
      <c r="M7" s="184"/>
      <c r="N7" s="184"/>
      <c r="O7" s="184"/>
    </row>
    <row r="8" spans="1:17">
      <c r="A8" s="207"/>
      <c r="B8" s="184"/>
      <c r="C8" s="184"/>
      <c r="D8" s="184"/>
      <c r="E8" s="184"/>
      <c r="F8" s="290">
        <v>45838</v>
      </c>
      <c r="G8" s="281">
        <v>12</v>
      </c>
      <c r="H8" s="184">
        <v>176.23</v>
      </c>
      <c r="I8" s="184">
        <v>2114.7599999999998</v>
      </c>
      <c r="J8" s="184">
        <v>2114.7599999999998</v>
      </c>
      <c r="K8" s="203">
        <f t="shared" si="0"/>
        <v>132.47999999999979</v>
      </c>
      <c r="L8" s="204">
        <f t="shared" si="1"/>
        <v>6.6832132695683652E-2</v>
      </c>
      <c r="M8" s="184"/>
      <c r="N8" s="184"/>
      <c r="O8" s="184"/>
    </row>
    <row r="9" spans="1:17">
      <c r="A9" s="207"/>
      <c r="B9" s="184"/>
      <c r="C9" s="184"/>
      <c r="D9" s="184"/>
      <c r="E9" s="184"/>
      <c r="F9" s="290">
        <v>45842</v>
      </c>
      <c r="G9" s="281">
        <v>12</v>
      </c>
      <c r="H9" s="184">
        <v>179.53</v>
      </c>
      <c r="I9" s="184">
        <v>2154.36</v>
      </c>
      <c r="J9" s="184">
        <v>2154.36</v>
      </c>
      <c r="K9" s="203">
        <f t="shared" si="0"/>
        <v>39.600000000000364</v>
      </c>
      <c r="L9" s="204">
        <f t="shared" si="1"/>
        <v>1.8725529138058392E-2</v>
      </c>
      <c r="M9" s="184"/>
      <c r="N9" s="184"/>
      <c r="O9" s="184"/>
    </row>
    <row r="10" spans="1:17" ht="16.5" thickBot="1">
      <c r="A10" s="208"/>
      <c r="B10" s="185"/>
      <c r="C10" s="185"/>
      <c r="D10" s="185"/>
      <c r="E10" s="185"/>
      <c r="F10" s="185"/>
      <c r="G10" s="284"/>
      <c r="H10" s="185"/>
      <c r="I10" s="185"/>
      <c r="J10" s="185" t="s">
        <v>149</v>
      </c>
      <c r="K10" s="209">
        <f>J9-J2+Q4</f>
        <v>553.70000000000027</v>
      </c>
      <c r="L10" s="210">
        <f>K10/J2</f>
        <v>9.2353522010061029E-2</v>
      </c>
      <c r="M10" s="184"/>
      <c r="N10" s="184"/>
      <c r="O10" s="184"/>
    </row>
    <row r="11" spans="1:17" ht="16.5" thickBot="1">
      <c r="A11" s="211"/>
      <c r="B11" s="211"/>
      <c r="C11" s="211"/>
      <c r="D11" s="211"/>
      <c r="E11" s="211"/>
      <c r="F11" s="211"/>
      <c r="G11" s="285"/>
      <c r="H11" s="211"/>
      <c r="I11" s="211"/>
      <c r="J11" s="211"/>
      <c r="K11" s="184"/>
      <c r="L11" s="184"/>
      <c r="M11" s="184"/>
      <c r="N11" s="184"/>
      <c r="O11" s="184"/>
    </row>
    <row r="12" spans="1:17">
      <c r="A12" s="212" t="s">
        <v>159</v>
      </c>
      <c r="B12" s="184" t="s">
        <v>48</v>
      </c>
      <c r="C12" s="213"/>
      <c r="D12" s="213"/>
      <c r="E12" s="213"/>
      <c r="F12" s="194">
        <v>45796</v>
      </c>
      <c r="G12" s="281">
        <v>2</v>
      </c>
      <c r="H12" s="184">
        <v>342.09</v>
      </c>
      <c r="I12" s="184">
        <v>684.18</v>
      </c>
      <c r="J12" s="184">
        <v>684.18</v>
      </c>
      <c r="K12" s="196"/>
      <c r="L12" s="197"/>
      <c r="M12" s="184"/>
      <c r="N12" s="184"/>
      <c r="O12" s="184"/>
    </row>
    <row r="13" spans="1:17">
      <c r="A13" s="199" t="s">
        <v>150</v>
      </c>
      <c r="B13" s="184" t="s">
        <v>49</v>
      </c>
      <c r="C13" s="200"/>
      <c r="D13" s="200"/>
      <c r="E13" s="201"/>
      <c r="F13" s="202">
        <v>45804</v>
      </c>
      <c r="G13" s="281">
        <v>2</v>
      </c>
      <c r="H13" s="184">
        <v>362.89</v>
      </c>
      <c r="I13" s="184">
        <v>725.78</v>
      </c>
      <c r="J13" s="184">
        <v>725.78</v>
      </c>
      <c r="K13" s="203">
        <f t="shared" ref="K13:K19" si="2">J13-J12</f>
        <v>41.600000000000023</v>
      </c>
      <c r="L13" s="204">
        <f>K13/J12</f>
        <v>6.0802712736414431E-2</v>
      </c>
      <c r="M13" s="184"/>
      <c r="N13" s="184"/>
      <c r="O13" s="184"/>
    </row>
    <row r="14" spans="1:17">
      <c r="A14" s="199" t="s">
        <v>151</v>
      </c>
      <c r="B14" s="184" t="s">
        <v>50</v>
      </c>
      <c r="C14" s="200"/>
      <c r="D14" s="200"/>
      <c r="E14" s="201"/>
      <c r="F14" s="202">
        <v>45810</v>
      </c>
      <c r="G14" s="279">
        <v>2</v>
      </c>
      <c r="H14" s="203">
        <v>342.69</v>
      </c>
      <c r="I14" s="201">
        <v>685.38</v>
      </c>
      <c r="J14" s="201">
        <v>685.38</v>
      </c>
      <c r="K14" s="203">
        <f t="shared" si="2"/>
        <v>-40.399999999999977</v>
      </c>
      <c r="L14" s="204">
        <f>K14/J13</f>
        <v>-5.5664250874920745E-2</v>
      </c>
      <c r="M14" s="184" t="s">
        <v>166</v>
      </c>
      <c r="N14" s="184">
        <v>1.5</v>
      </c>
      <c r="O14" s="184">
        <v>342.69</v>
      </c>
      <c r="P14">
        <v>514.03499999999997</v>
      </c>
      <c r="Q14">
        <v>514.03499999999997</v>
      </c>
    </row>
    <row r="15" spans="1:17">
      <c r="A15" s="199" t="s">
        <v>152</v>
      </c>
      <c r="B15" s="184" t="s">
        <v>11</v>
      </c>
      <c r="C15" s="200"/>
      <c r="D15" s="200"/>
      <c r="E15" s="201"/>
      <c r="F15" s="275">
        <v>45817</v>
      </c>
      <c r="G15" s="278">
        <v>0.5</v>
      </c>
      <c r="H15" s="191">
        <v>308.58</v>
      </c>
      <c r="I15" s="184">
        <v>154.29</v>
      </c>
      <c r="J15" s="184">
        <v>154.29</v>
      </c>
      <c r="K15" s="203">
        <f t="shared" si="2"/>
        <v>-531.09</v>
      </c>
      <c r="L15" s="204">
        <f>(K15+Q14)/J14</f>
        <v>-2.4884005952902133E-2</v>
      </c>
      <c r="M15" s="184"/>
      <c r="N15" s="184"/>
      <c r="O15" s="184"/>
    </row>
    <row r="16" spans="1:17">
      <c r="A16" s="205"/>
      <c r="B16" s="191"/>
      <c r="C16" s="206"/>
      <c r="D16" s="203"/>
      <c r="E16" s="203"/>
      <c r="F16" s="290">
        <v>45824</v>
      </c>
      <c r="G16" s="280">
        <v>0.5</v>
      </c>
      <c r="H16" s="184">
        <v>329.13</v>
      </c>
      <c r="I16" s="184">
        <v>164.565</v>
      </c>
      <c r="J16" s="184">
        <v>164.565</v>
      </c>
      <c r="K16" s="203">
        <f t="shared" si="2"/>
        <v>10.275000000000006</v>
      </c>
      <c r="L16" s="204">
        <f>K16/J15</f>
        <v>6.6595372350768081E-2</v>
      </c>
      <c r="M16" s="184"/>
      <c r="N16" s="184"/>
      <c r="O16" s="184"/>
    </row>
    <row r="17" spans="1:17">
      <c r="A17" s="207"/>
      <c r="B17" s="184"/>
      <c r="C17" s="184"/>
      <c r="D17" s="184"/>
      <c r="E17" s="184"/>
      <c r="F17" s="290">
        <v>45831</v>
      </c>
      <c r="G17" s="280">
        <v>0.5</v>
      </c>
      <c r="H17" s="184">
        <v>348.68</v>
      </c>
      <c r="I17" s="184">
        <v>174.34</v>
      </c>
      <c r="J17" s="184">
        <v>174.34</v>
      </c>
      <c r="K17" s="203">
        <f t="shared" si="2"/>
        <v>9.7750000000000057</v>
      </c>
      <c r="L17" s="204">
        <f>K17/J16</f>
        <v>5.9399021663172645E-2</v>
      </c>
      <c r="M17" s="184"/>
      <c r="N17" s="184"/>
      <c r="O17" s="184"/>
    </row>
    <row r="18" spans="1:17">
      <c r="A18" s="207"/>
      <c r="B18" s="184"/>
      <c r="C18" s="184"/>
      <c r="D18" s="184"/>
      <c r="E18" s="184"/>
      <c r="F18" s="290">
        <v>45838</v>
      </c>
      <c r="G18" s="280">
        <v>0.5</v>
      </c>
      <c r="H18" s="184">
        <v>317.66000000000003</v>
      </c>
      <c r="I18" s="184">
        <v>158.83000000000001</v>
      </c>
      <c r="J18" s="184">
        <v>158.83000000000001</v>
      </c>
      <c r="K18" s="203">
        <f t="shared" si="2"/>
        <v>-15.509999999999991</v>
      </c>
      <c r="L18" s="204">
        <f>K18/J17</f>
        <v>-8.896409315131347E-2</v>
      </c>
      <c r="M18" s="184"/>
      <c r="N18" s="184"/>
      <c r="O18" s="184"/>
    </row>
    <row r="19" spans="1:17">
      <c r="A19" s="207"/>
      <c r="B19" s="184"/>
      <c r="C19" s="184"/>
      <c r="D19" s="184"/>
      <c r="E19" s="184"/>
      <c r="F19" s="290">
        <v>45842</v>
      </c>
      <c r="G19" s="280">
        <v>0.5</v>
      </c>
      <c r="H19" s="184">
        <v>315.35000000000002</v>
      </c>
      <c r="I19" s="184">
        <v>157.67500000000001</v>
      </c>
      <c r="J19" s="184">
        <v>157.67500000000001</v>
      </c>
      <c r="K19" s="203">
        <f t="shared" si="2"/>
        <v>-1.1550000000000011</v>
      </c>
      <c r="L19" s="204">
        <f>K19/J18</f>
        <v>-7.2719259585720649E-3</v>
      </c>
      <c r="M19" s="184"/>
      <c r="N19" s="184"/>
      <c r="O19" s="184"/>
    </row>
    <row r="20" spans="1:17" ht="16.5" thickBot="1">
      <c r="A20" s="208"/>
      <c r="B20" s="185"/>
      <c r="C20" s="185"/>
      <c r="D20" s="185"/>
      <c r="E20" s="185"/>
      <c r="F20" s="185"/>
      <c r="G20" s="284"/>
      <c r="H20" s="185"/>
      <c r="I20" s="185"/>
      <c r="J20" s="185" t="s">
        <v>149</v>
      </c>
      <c r="K20" s="209">
        <f>J19-J12+Q14</f>
        <v>-12.469999999999914</v>
      </c>
      <c r="L20" s="210">
        <f>K20/J12</f>
        <v>-1.8226197784208708E-2</v>
      </c>
      <c r="M20" s="184"/>
      <c r="N20" s="184"/>
      <c r="O20" s="184"/>
    </row>
    <row r="21" spans="1:17" ht="16.5" thickBot="1">
      <c r="A21" s="211"/>
      <c r="B21" s="211"/>
      <c r="C21" s="211"/>
      <c r="D21" s="211"/>
      <c r="E21" s="211"/>
      <c r="F21" s="211"/>
      <c r="G21" s="285"/>
      <c r="H21" s="211"/>
      <c r="I21" s="211"/>
      <c r="J21" s="211"/>
      <c r="K21" s="184"/>
      <c r="L21" s="184"/>
      <c r="M21" s="184"/>
      <c r="N21" s="184"/>
      <c r="O21" s="184"/>
    </row>
    <row r="22" spans="1:17">
      <c r="A22" s="212" t="s">
        <v>159</v>
      </c>
      <c r="B22" s="184" t="s">
        <v>51</v>
      </c>
      <c r="C22" s="213"/>
      <c r="D22" s="213"/>
      <c r="E22" s="213"/>
      <c r="F22" s="194">
        <v>45796</v>
      </c>
      <c r="G22" s="281">
        <v>70</v>
      </c>
      <c r="H22" s="184">
        <v>84.61</v>
      </c>
      <c r="I22" s="184">
        <v>5922.7</v>
      </c>
      <c r="J22" s="184">
        <v>5922.7</v>
      </c>
      <c r="K22" s="196"/>
      <c r="L22" s="197"/>
      <c r="M22" s="184"/>
      <c r="N22" s="184"/>
      <c r="O22" s="184"/>
    </row>
    <row r="23" spans="1:17">
      <c r="A23" s="199" t="s">
        <v>150</v>
      </c>
      <c r="B23" s="184" t="s">
        <v>52</v>
      </c>
      <c r="C23" s="200"/>
      <c r="D23" s="200"/>
      <c r="E23" s="201"/>
      <c r="F23" s="202">
        <v>45804</v>
      </c>
      <c r="G23" s="281">
        <v>70</v>
      </c>
      <c r="H23" s="184">
        <v>87.01</v>
      </c>
      <c r="I23" s="184">
        <v>6090.7000000000007</v>
      </c>
      <c r="J23" s="184">
        <v>6090.7000000000007</v>
      </c>
      <c r="K23" s="203">
        <f t="shared" ref="K23:K27" si="3">J23-J22</f>
        <v>168.00000000000091</v>
      </c>
      <c r="L23" s="204">
        <f>K23/J22</f>
        <v>2.8365441437182521E-2</v>
      </c>
      <c r="M23" s="184"/>
      <c r="N23" s="184"/>
      <c r="O23" s="184"/>
    </row>
    <row r="24" spans="1:17">
      <c r="A24" s="199" t="s">
        <v>151</v>
      </c>
      <c r="B24" s="184" t="s">
        <v>50</v>
      </c>
      <c r="C24" s="200"/>
      <c r="D24" s="200"/>
      <c r="E24" s="201"/>
      <c r="F24" s="202">
        <v>45810</v>
      </c>
      <c r="G24" s="281">
        <v>70</v>
      </c>
      <c r="H24" s="184">
        <v>85.19</v>
      </c>
      <c r="I24" s="184">
        <v>5963.3</v>
      </c>
      <c r="J24" s="184">
        <v>5963.3</v>
      </c>
      <c r="K24" s="203">
        <f t="shared" si="3"/>
        <v>-127.40000000000055</v>
      </c>
      <c r="L24" s="204">
        <f>K24/J23</f>
        <v>-2.0917135961383837E-2</v>
      </c>
      <c r="M24" s="184"/>
      <c r="N24" s="184"/>
      <c r="O24" s="184"/>
    </row>
    <row r="25" spans="1:17">
      <c r="A25" s="199" t="s">
        <v>152</v>
      </c>
      <c r="B25" s="184" t="s">
        <v>11</v>
      </c>
      <c r="C25" s="200"/>
      <c r="D25" s="200"/>
      <c r="E25" s="201"/>
      <c r="F25" s="275">
        <v>45817</v>
      </c>
      <c r="G25" s="279">
        <v>70</v>
      </c>
      <c r="H25" s="191">
        <v>90.67</v>
      </c>
      <c r="I25" s="184">
        <v>6346.9000000000005</v>
      </c>
      <c r="J25" s="184">
        <v>6346.9000000000005</v>
      </c>
      <c r="K25" s="203">
        <f t="shared" si="3"/>
        <v>383.60000000000036</v>
      </c>
      <c r="L25" s="204">
        <f>K25/J24</f>
        <v>6.4326798920061101E-2</v>
      </c>
      <c r="M25" s="184" t="s">
        <v>166</v>
      </c>
      <c r="N25" s="184">
        <v>30</v>
      </c>
      <c r="O25" s="184">
        <v>90.67</v>
      </c>
      <c r="P25">
        <v>2720.1</v>
      </c>
      <c r="Q25">
        <v>2720.1</v>
      </c>
    </row>
    <row r="26" spans="1:17">
      <c r="A26" s="205"/>
      <c r="B26" s="191"/>
      <c r="C26" s="206"/>
      <c r="D26" s="203"/>
      <c r="E26" s="203"/>
      <c r="F26" s="290">
        <v>45824</v>
      </c>
      <c r="G26" s="281">
        <v>40</v>
      </c>
      <c r="H26" s="184">
        <v>93.48</v>
      </c>
      <c r="I26" s="184">
        <v>3739.2000000000003</v>
      </c>
      <c r="J26" s="184">
        <v>3739.2000000000003</v>
      </c>
      <c r="K26" s="203">
        <f>J26-J25+P25</f>
        <v>112.39999999999964</v>
      </c>
      <c r="L26" s="204">
        <f>(K26)/J25</f>
        <v>1.7709432951519579E-2</v>
      </c>
      <c r="M26" s="184"/>
      <c r="N26" s="184"/>
      <c r="O26" s="184"/>
    </row>
    <row r="27" spans="1:17">
      <c r="A27" s="207"/>
      <c r="B27" s="184"/>
      <c r="C27" s="184"/>
      <c r="D27" s="184"/>
      <c r="E27" s="184"/>
      <c r="F27" s="290">
        <v>45831</v>
      </c>
      <c r="G27" s="281">
        <v>40</v>
      </c>
      <c r="H27" s="184">
        <v>92.34</v>
      </c>
      <c r="I27" s="184">
        <v>3693.6000000000004</v>
      </c>
      <c r="J27" s="184">
        <v>3693.6000000000004</v>
      </c>
      <c r="K27" s="203">
        <f t="shared" si="3"/>
        <v>-45.599999999999909</v>
      </c>
      <c r="L27" s="204">
        <f>K27/J26</f>
        <v>-1.2195121951219487E-2</v>
      </c>
      <c r="M27" s="184" t="s">
        <v>168</v>
      </c>
      <c r="N27" s="184">
        <v>5</v>
      </c>
      <c r="O27" s="184">
        <v>92.34</v>
      </c>
      <c r="P27">
        <v>461.70000000000005</v>
      </c>
      <c r="Q27">
        <v>461.70000000000005</v>
      </c>
    </row>
    <row r="28" spans="1:17">
      <c r="A28" s="207"/>
      <c r="B28" s="184"/>
      <c r="C28" s="184"/>
      <c r="D28" s="184"/>
      <c r="E28" s="184"/>
      <c r="F28" s="290">
        <v>45838</v>
      </c>
      <c r="G28" s="281">
        <v>45</v>
      </c>
      <c r="H28" s="184">
        <v>91.63</v>
      </c>
      <c r="I28" s="184">
        <v>4123.3499999999995</v>
      </c>
      <c r="J28" s="184">
        <v>4123.3499999999995</v>
      </c>
      <c r="K28" s="203">
        <f>J28-J27-Q27</f>
        <v>-31.950000000000955</v>
      </c>
      <c r="L28" s="204">
        <f>(K28)/(J27+Q27)</f>
        <v>-7.6889755252330643E-3</v>
      </c>
      <c r="M28" s="184"/>
      <c r="N28" s="184"/>
      <c r="O28" s="184"/>
    </row>
    <row r="29" spans="1:17">
      <c r="A29" s="207"/>
      <c r="B29" s="184"/>
      <c r="C29" s="184"/>
      <c r="D29" s="184"/>
      <c r="E29" s="184"/>
      <c r="F29" s="290">
        <v>45842</v>
      </c>
      <c r="G29" s="281">
        <v>45</v>
      </c>
      <c r="H29" s="184">
        <v>94.44</v>
      </c>
      <c r="I29" s="184">
        <v>4249.8</v>
      </c>
      <c r="J29" s="184">
        <v>4249.8</v>
      </c>
      <c r="K29" s="203">
        <f>J29-J28-Q28</f>
        <v>126.45000000000073</v>
      </c>
      <c r="L29" s="204">
        <f>(K29)/(J28+Q28)</f>
        <v>3.0666812179417403E-2</v>
      </c>
      <c r="M29" s="184"/>
      <c r="N29" s="184"/>
      <c r="O29" s="184"/>
    </row>
    <row r="30" spans="1:17" ht="16.5" thickBot="1">
      <c r="A30" s="208"/>
      <c r="B30" s="185"/>
      <c r="C30" s="185"/>
      <c r="D30" s="185"/>
      <c r="E30" s="185"/>
      <c r="F30" s="185"/>
      <c r="G30" s="284"/>
      <c r="H30" s="185"/>
      <c r="I30" s="185"/>
      <c r="J30" s="185" t="s">
        <v>149</v>
      </c>
      <c r="K30" s="209">
        <f>J29-J22+Q25-Q27</f>
        <v>585.50000000000023</v>
      </c>
      <c r="L30" s="210">
        <f>K30/J22</f>
        <v>9.8856940246846922E-2</v>
      </c>
      <c r="M30" s="184"/>
      <c r="N30" s="184"/>
      <c r="O30" s="184"/>
    </row>
    <row r="31" spans="1:17" ht="16.5" thickBot="1">
      <c r="A31" s="184"/>
      <c r="B31" s="211"/>
      <c r="C31" s="184"/>
      <c r="D31" s="184"/>
      <c r="E31" s="184"/>
      <c r="F31" s="184"/>
      <c r="G31" s="285"/>
      <c r="H31" s="211"/>
      <c r="I31" s="211"/>
      <c r="J31" s="211"/>
      <c r="K31" s="184"/>
      <c r="L31" s="184"/>
      <c r="M31" s="184"/>
      <c r="N31" s="184"/>
      <c r="O31" s="184"/>
    </row>
    <row r="32" spans="1:17">
      <c r="A32" s="192" t="s">
        <v>159</v>
      </c>
      <c r="B32" s="184" t="s">
        <v>53</v>
      </c>
      <c r="C32" s="193"/>
      <c r="D32" s="193"/>
      <c r="E32" s="193"/>
      <c r="F32" s="194">
        <v>45796</v>
      </c>
      <c r="G32" s="281">
        <v>10</v>
      </c>
      <c r="H32" s="184">
        <v>62.08</v>
      </c>
      <c r="I32" s="184">
        <v>620.79999999999995</v>
      </c>
      <c r="J32" s="184">
        <v>620.79999999999995</v>
      </c>
      <c r="K32" s="196"/>
      <c r="L32" s="197"/>
      <c r="M32" s="184"/>
      <c r="N32" s="184"/>
      <c r="O32" s="184"/>
    </row>
    <row r="33" spans="1:17">
      <c r="A33" s="199" t="s">
        <v>150</v>
      </c>
      <c r="B33" s="184" t="s">
        <v>54</v>
      </c>
      <c r="C33" s="200"/>
      <c r="D33" s="200"/>
      <c r="E33" s="201"/>
      <c r="F33" s="202">
        <v>45804</v>
      </c>
      <c r="G33" s="281">
        <v>10</v>
      </c>
      <c r="H33" s="184">
        <v>62.83</v>
      </c>
      <c r="I33" s="184">
        <v>628.29999999999995</v>
      </c>
      <c r="J33" s="184">
        <v>628.29999999999995</v>
      </c>
      <c r="K33" s="203">
        <f t="shared" ref="K33:K37" si="4">J33-J32</f>
        <v>7.5</v>
      </c>
      <c r="L33" s="204">
        <f>K33/J32</f>
        <v>1.208118556701031E-2</v>
      </c>
      <c r="M33" s="184"/>
      <c r="N33" s="184"/>
      <c r="O33" s="184"/>
    </row>
    <row r="34" spans="1:17">
      <c r="A34" s="199" t="s">
        <v>151</v>
      </c>
      <c r="B34" s="184" t="s">
        <v>50</v>
      </c>
      <c r="C34" s="200"/>
      <c r="D34" s="200"/>
      <c r="E34" s="201"/>
      <c r="F34" s="202">
        <v>45810</v>
      </c>
      <c r="G34" s="281">
        <v>10</v>
      </c>
      <c r="H34" s="184">
        <v>61.57</v>
      </c>
      <c r="I34" s="184">
        <v>615.70000000000005</v>
      </c>
      <c r="J34" s="184">
        <v>615.70000000000005</v>
      </c>
      <c r="K34" s="203">
        <f t="shared" si="4"/>
        <v>-12.599999999999909</v>
      </c>
      <c r="L34" s="204">
        <f>K34/J33</f>
        <v>-2.0054114276619305E-2</v>
      </c>
      <c r="M34" s="184"/>
      <c r="N34" s="184"/>
      <c r="O34" s="184"/>
    </row>
    <row r="35" spans="1:17">
      <c r="A35" s="199" t="s">
        <v>152</v>
      </c>
      <c r="B35" s="184" t="s">
        <v>11</v>
      </c>
      <c r="C35" s="200"/>
      <c r="D35" s="200"/>
      <c r="E35" s="201"/>
      <c r="F35" s="275">
        <v>45817</v>
      </c>
      <c r="G35" s="279">
        <v>10</v>
      </c>
      <c r="H35" s="191">
        <v>61.91</v>
      </c>
      <c r="I35" s="184">
        <v>619.09999999999991</v>
      </c>
      <c r="J35" s="184">
        <v>619.09999999999991</v>
      </c>
      <c r="K35" s="203">
        <f t="shared" si="4"/>
        <v>3.3999999999998636</v>
      </c>
      <c r="L35" s="204">
        <f>K35/J34</f>
        <v>5.5221698879322125E-3</v>
      </c>
      <c r="M35" s="184"/>
      <c r="N35" s="184"/>
      <c r="O35" s="184"/>
    </row>
    <row r="36" spans="1:17">
      <c r="A36" s="205"/>
      <c r="B36" s="191"/>
      <c r="C36" s="206"/>
      <c r="D36" s="203"/>
      <c r="E36" s="203"/>
      <c r="F36" s="290">
        <v>45824</v>
      </c>
      <c r="G36" s="281">
        <v>10</v>
      </c>
      <c r="H36" s="184">
        <v>61.9</v>
      </c>
      <c r="I36" s="184">
        <v>619</v>
      </c>
      <c r="J36" s="184">
        <v>619</v>
      </c>
      <c r="K36" s="203">
        <f t="shared" si="4"/>
        <v>-9.9999999999909051E-2</v>
      </c>
      <c r="L36" s="204">
        <f>K36/J35</f>
        <v>-1.615247940557407E-4</v>
      </c>
      <c r="M36" s="184"/>
      <c r="N36" s="184"/>
      <c r="O36" s="184"/>
    </row>
    <row r="37" spans="1:17">
      <c r="A37" s="207"/>
      <c r="B37" s="184"/>
      <c r="C37" s="184"/>
      <c r="D37" s="184"/>
      <c r="E37" s="184"/>
      <c r="F37" s="290">
        <v>45831</v>
      </c>
      <c r="G37" s="281">
        <v>10</v>
      </c>
      <c r="H37" s="184">
        <v>60.78</v>
      </c>
      <c r="I37" s="184">
        <v>607.79999999999995</v>
      </c>
      <c r="J37" s="184">
        <v>607.79999999999995</v>
      </c>
      <c r="K37" s="203">
        <f t="shared" si="4"/>
        <v>-11.200000000000045</v>
      </c>
      <c r="L37" s="204">
        <f>K37/J36</f>
        <v>-1.8093699515347408E-2</v>
      </c>
      <c r="M37" s="184" t="s">
        <v>168</v>
      </c>
      <c r="N37" s="184">
        <v>35</v>
      </c>
      <c r="O37" s="184">
        <v>60.78</v>
      </c>
      <c r="P37">
        <v>2127.3000000000002</v>
      </c>
      <c r="Q37">
        <v>2127.3000000000002</v>
      </c>
    </row>
    <row r="38" spans="1:17">
      <c r="A38" s="207"/>
      <c r="B38" s="184"/>
      <c r="C38" s="184"/>
      <c r="D38" s="184"/>
      <c r="E38" s="184"/>
      <c r="F38" s="290">
        <v>45838</v>
      </c>
      <c r="G38" s="281">
        <v>45</v>
      </c>
      <c r="H38" s="184">
        <v>71.040000000000006</v>
      </c>
      <c r="I38" s="184">
        <v>3196.8</v>
      </c>
      <c r="J38" s="184">
        <v>3196.8</v>
      </c>
      <c r="K38" s="203">
        <f>J38-J37-P37</f>
        <v>461.69999999999982</v>
      </c>
      <c r="L38" s="204">
        <f>(K38)/(J37+Q37)</f>
        <v>0.16880552813425459</v>
      </c>
      <c r="M38" s="184"/>
      <c r="N38" s="184"/>
      <c r="O38" s="184"/>
    </row>
    <row r="39" spans="1:17">
      <c r="A39" s="207"/>
      <c r="B39" s="184"/>
      <c r="C39" s="184"/>
      <c r="D39" s="184"/>
      <c r="E39" s="184"/>
      <c r="F39" s="290">
        <v>45842</v>
      </c>
      <c r="G39" s="281">
        <v>45</v>
      </c>
      <c r="H39" s="184">
        <v>76.39</v>
      </c>
      <c r="I39" s="184">
        <v>3437.55</v>
      </c>
      <c r="J39" s="184">
        <v>3437.55</v>
      </c>
      <c r="K39" s="203">
        <f>J39-J38-P38</f>
        <v>240.75</v>
      </c>
      <c r="L39" s="204">
        <f>(K39)/(J38+Q38)</f>
        <v>7.5309684684684686E-2</v>
      </c>
      <c r="M39" s="184"/>
      <c r="N39" s="184"/>
      <c r="O39" s="184"/>
    </row>
    <row r="40" spans="1:17" ht="16.5" thickBot="1">
      <c r="A40" s="208"/>
      <c r="B40" s="185"/>
      <c r="C40" s="185"/>
      <c r="D40" s="185"/>
      <c r="E40" s="185"/>
      <c r="F40" s="185"/>
      <c r="G40" s="284"/>
      <c r="H40" s="185"/>
      <c r="I40" s="185"/>
      <c r="J40" s="185" t="s">
        <v>149</v>
      </c>
      <c r="K40" s="209">
        <f>J39-(J32+Q37)</f>
        <v>689.44999999999982</v>
      </c>
      <c r="L40" s="210">
        <f>K40/(J32+Q37)</f>
        <v>0.25088242785924814</v>
      </c>
      <c r="M40" s="184"/>
      <c r="N40" s="184"/>
      <c r="O40" s="184"/>
    </row>
    <row r="41" spans="1:17" ht="16.5" thickBot="1">
      <c r="A41" s="184"/>
      <c r="B41" s="211"/>
      <c r="C41" s="184"/>
      <c r="D41" s="184"/>
      <c r="E41" s="184"/>
      <c r="F41" s="184"/>
      <c r="G41" s="281"/>
      <c r="H41" s="184"/>
      <c r="I41" s="184"/>
      <c r="J41" s="184"/>
      <c r="K41" s="184"/>
      <c r="L41" s="184"/>
      <c r="M41" s="184"/>
      <c r="N41" s="184"/>
      <c r="O41" s="184"/>
    </row>
    <row r="42" spans="1:17">
      <c r="A42" s="192" t="s">
        <v>159</v>
      </c>
      <c r="B42" s="184" t="s">
        <v>56</v>
      </c>
      <c r="C42" s="193"/>
      <c r="D42" s="193"/>
      <c r="E42" s="193"/>
      <c r="F42" s="194">
        <v>45796</v>
      </c>
      <c r="G42" s="283">
        <v>45</v>
      </c>
      <c r="H42" s="196">
        <v>106.47</v>
      </c>
      <c r="I42" s="196">
        <v>4791.1499999999996</v>
      </c>
      <c r="J42" s="196">
        <v>4791.1499999999996</v>
      </c>
      <c r="K42" s="196"/>
      <c r="L42" s="197"/>
      <c r="M42" s="184"/>
      <c r="N42" s="184"/>
      <c r="O42" s="184"/>
    </row>
    <row r="43" spans="1:17">
      <c r="A43" s="199" t="s">
        <v>150</v>
      </c>
      <c r="B43" s="184" t="s">
        <v>57</v>
      </c>
      <c r="C43" s="200"/>
      <c r="D43" s="200"/>
      <c r="E43" s="201"/>
      <c r="F43" s="202">
        <v>45804</v>
      </c>
      <c r="G43" s="279">
        <v>45</v>
      </c>
      <c r="H43" s="206">
        <v>103.52</v>
      </c>
      <c r="I43" s="203">
        <v>4658.3999999999996</v>
      </c>
      <c r="J43" s="203">
        <v>4658.3999999999996</v>
      </c>
      <c r="K43" s="203">
        <f t="shared" ref="K43:K48" si="5">J43-J42</f>
        <v>-132.75</v>
      </c>
      <c r="L43" s="204">
        <f t="shared" ref="L43:L49" si="6">K43/J42</f>
        <v>-2.7707335399643093E-2</v>
      </c>
      <c r="M43" s="184"/>
      <c r="N43" s="184"/>
      <c r="O43" s="184"/>
    </row>
    <row r="44" spans="1:17">
      <c r="A44" s="199" t="s">
        <v>151</v>
      </c>
      <c r="B44" s="184" t="s">
        <v>58</v>
      </c>
      <c r="C44" s="200"/>
      <c r="D44" s="200"/>
      <c r="E44" s="201"/>
      <c r="F44" s="202">
        <v>45810</v>
      </c>
      <c r="G44" s="281">
        <v>45</v>
      </c>
      <c r="H44" s="184">
        <v>103.05</v>
      </c>
      <c r="I44" s="184">
        <v>4637.25</v>
      </c>
      <c r="J44" s="184">
        <v>4637.25</v>
      </c>
      <c r="K44" s="203">
        <f t="shared" si="5"/>
        <v>-21.149999999999636</v>
      </c>
      <c r="L44" s="204">
        <f t="shared" si="6"/>
        <v>-4.5401854714064134E-3</v>
      </c>
      <c r="M44" s="184"/>
      <c r="N44" s="184"/>
      <c r="O44" s="184"/>
    </row>
    <row r="45" spans="1:17">
      <c r="A45" s="199" t="s">
        <v>152</v>
      </c>
      <c r="B45" s="184" t="s">
        <v>11</v>
      </c>
      <c r="C45" s="200"/>
      <c r="D45" s="200"/>
      <c r="E45" s="201"/>
      <c r="F45" s="275">
        <v>45817</v>
      </c>
      <c r="G45" s="279">
        <v>45</v>
      </c>
      <c r="H45" s="279">
        <v>104.97</v>
      </c>
      <c r="I45" s="281">
        <v>4723.6499999999996</v>
      </c>
      <c r="J45" s="281">
        <v>4723.6499999999996</v>
      </c>
      <c r="K45" s="203">
        <f t="shared" si="5"/>
        <v>86.399999999999636</v>
      </c>
      <c r="L45" s="204">
        <f t="shared" si="6"/>
        <v>1.8631732168849995E-2</v>
      </c>
      <c r="M45" s="184"/>
      <c r="N45" s="184"/>
      <c r="O45" s="184"/>
    </row>
    <row r="46" spans="1:17">
      <c r="A46" s="205"/>
      <c r="B46" s="191"/>
      <c r="C46" s="206"/>
      <c r="D46" s="203"/>
      <c r="E46" s="203"/>
      <c r="F46" s="290">
        <v>45824</v>
      </c>
      <c r="G46" s="281">
        <v>45</v>
      </c>
      <c r="H46" s="184">
        <v>112.48</v>
      </c>
      <c r="I46" s="184">
        <v>5061.6000000000004</v>
      </c>
      <c r="J46" s="184">
        <v>5061.6000000000004</v>
      </c>
      <c r="K46" s="203">
        <f t="shared" si="5"/>
        <v>337.95000000000073</v>
      </c>
      <c r="L46" s="204">
        <f t="shared" si="6"/>
        <v>7.1544250738306336E-2</v>
      </c>
      <c r="M46" s="184"/>
      <c r="N46" s="184"/>
      <c r="O46" s="184"/>
    </row>
    <row r="47" spans="1:17">
      <c r="A47" s="207"/>
      <c r="B47" s="184"/>
      <c r="C47" s="184"/>
      <c r="D47" s="184"/>
      <c r="E47" s="184"/>
      <c r="F47" s="290">
        <v>45831</v>
      </c>
      <c r="G47" s="281">
        <v>45</v>
      </c>
      <c r="H47" s="184">
        <v>111.74</v>
      </c>
      <c r="I47" s="184">
        <v>5028.3</v>
      </c>
      <c r="J47" s="184">
        <v>5028.3</v>
      </c>
      <c r="K47" s="203">
        <f t="shared" si="5"/>
        <v>-33.300000000000182</v>
      </c>
      <c r="L47" s="204">
        <f t="shared" si="6"/>
        <v>-6.5789473684210878E-3</v>
      </c>
      <c r="M47" s="184"/>
      <c r="N47" s="184"/>
      <c r="O47" s="184"/>
    </row>
    <row r="48" spans="1:17">
      <c r="A48" s="207"/>
      <c r="B48" s="184"/>
      <c r="C48" s="184"/>
      <c r="D48" s="184"/>
      <c r="E48" s="184"/>
      <c r="F48" s="290">
        <v>45838</v>
      </c>
      <c r="G48" s="281">
        <v>45</v>
      </c>
      <c r="H48" s="184">
        <v>107.8</v>
      </c>
      <c r="I48" s="184">
        <v>4851</v>
      </c>
      <c r="J48" s="184">
        <v>4851</v>
      </c>
      <c r="K48" s="203">
        <f t="shared" si="5"/>
        <v>-177.30000000000018</v>
      </c>
      <c r="L48" s="204">
        <f t="shared" si="6"/>
        <v>-3.5260425988902847E-2</v>
      </c>
      <c r="M48" s="184"/>
      <c r="N48" s="184"/>
      <c r="O48" s="184"/>
    </row>
    <row r="49" spans="1:15">
      <c r="A49" s="207"/>
      <c r="B49" s="184"/>
      <c r="C49" s="184"/>
      <c r="D49" s="184"/>
      <c r="E49" s="184"/>
      <c r="F49" s="290">
        <v>45842</v>
      </c>
      <c r="G49" s="281">
        <v>45</v>
      </c>
      <c r="H49" s="184">
        <v>112.2</v>
      </c>
      <c r="I49" s="184">
        <v>5049</v>
      </c>
      <c r="J49" s="184">
        <v>5049</v>
      </c>
      <c r="K49" s="203">
        <f>J49-J48</f>
        <v>198</v>
      </c>
      <c r="L49" s="204">
        <f t="shared" si="6"/>
        <v>4.0816326530612242E-2</v>
      </c>
      <c r="M49" s="184"/>
      <c r="N49" s="184"/>
      <c r="O49" s="184"/>
    </row>
    <row r="50" spans="1:15" ht="16.5" thickBot="1">
      <c r="A50" s="208"/>
      <c r="B50" s="185"/>
      <c r="C50" s="185"/>
      <c r="D50" s="185"/>
      <c r="E50" s="185"/>
      <c r="F50" s="185"/>
      <c r="G50" s="284"/>
      <c r="H50" s="185"/>
      <c r="I50" s="185"/>
      <c r="J50" s="185" t="s">
        <v>149</v>
      </c>
      <c r="K50" s="209">
        <f>J49-J42</f>
        <v>257.85000000000036</v>
      </c>
      <c r="L50" s="210">
        <f>K50/J42</f>
        <v>5.3817976894900053E-2</v>
      </c>
      <c r="M50" s="184"/>
      <c r="N50" s="184"/>
      <c r="O50" s="184"/>
    </row>
    <row r="51" spans="1:15" ht="16.5" thickBot="1">
      <c r="A51" s="184"/>
      <c r="B51" s="211"/>
      <c r="C51" s="184"/>
      <c r="D51" s="184"/>
      <c r="E51" s="184"/>
      <c r="F51" s="184"/>
      <c r="G51" s="281"/>
      <c r="H51" s="184"/>
      <c r="I51" s="184"/>
      <c r="J51" s="184"/>
      <c r="K51" s="184"/>
      <c r="L51" s="184"/>
      <c r="M51" s="184"/>
      <c r="N51" s="184"/>
      <c r="O51" s="184"/>
    </row>
    <row r="52" spans="1:15">
      <c r="A52" s="192" t="s">
        <v>159</v>
      </c>
      <c r="B52" s="184" t="s">
        <v>59</v>
      </c>
      <c r="C52" s="193"/>
      <c r="D52" s="193"/>
      <c r="E52" s="193"/>
      <c r="F52" s="194">
        <v>45796</v>
      </c>
      <c r="G52" s="283">
        <v>60</v>
      </c>
      <c r="H52" s="196">
        <v>5.57</v>
      </c>
      <c r="I52" s="196">
        <v>334.20000000000005</v>
      </c>
      <c r="J52" s="196">
        <v>334.20000000000005</v>
      </c>
      <c r="K52" s="196"/>
      <c r="L52" s="197"/>
      <c r="M52" s="184"/>
      <c r="N52" s="184"/>
      <c r="O52" s="184"/>
    </row>
    <row r="53" spans="1:15">
      <c r="A53" s="199" t="s">
        <v>150</v>
      </c>
      <c r="B53" s="184" t="s">
        <v>60</v>
      </c>
      <c r="C53" s="200"/>
      <c r="D53" s="200"/>
      <c r="E53" s="201"/>
      <c r="F53" s="202">
        <v>45804</v>
      </c>
      <c r="G53" s="279">
        <v>60</v>
      </c>
      <c r="H53" s="206">
        <v>5.5</v>
      </c>
      <c r="I53" s="203">
        <v>330</v>
      </c>
      <c r="J53" s="203">
        <v>330</v>
      </c>
      <c r="K53" s="203">
        <f t="shared" ref="K53:K59" si="7">J53-J52</f>
        <v>-4.2000000000000455</v>
      </c>
      <c r="L53" s="204">
        <f t="shared" ref="L53:L59" si="8">K53/J52</f>
        <v>-1.2567324955116831E-2</v>
      </c>
      <c r="M53" s="184"/>
      <c r="N53" s="184"/>
      <c r="O53" s="184"/>
    </row>
    <row r="54" spans="1:15">
      <c r="A54" s="199" t="s">
        <v>151</v>
      </c>
      <c r="B54" s="184" t="s">
        <v>58</v>
      </c>
      <c r="C54" s="200"/>
      <c r="D54" s="200"/>
      <c r="E54" s="201"/>
      <c r="F54" s="202">
        <v>45810</v>
      </c>
      <c r="G54" s="281">
        <v>60</v>
      </c>
      <c r="H54" s="184">
        <v>5.54</v>
      </c>
      <c r="I54" s="184">
        <v>332.4</v>
      </c>
      <c r="J54" s="184">
        <v>332.4</v>
      </c>
      <c r="K54" s="203">
        <f t="shared" si="7"/>
        <v>2.3999999999999773</v>
      </c>
      <c r="L54" s="204">
        <f t="shared" si="8"/>
        <v>7.2727272727272042E-3</v>
      </c>
      <c r="M54" s="184"/>
      <c r="N54" s="184"/>
      <c r="O54" s="184"/>
    </row>
    <row r="55" spans="1:15">
      <c r="A55" s="199" t="s">
        <v>152</v>
      </c>
      <c r="B55" s="184" t="s">
        <v>11</v>
      </c>
      <c r="C55" s="200"/>
      <c r="D55" s="200"/>
      <c r="E55" s="201"/>
      <c r="F55" s="275">
        <v>45817</v>
      </c>
      <c r="G55" s="279">
        <v>60</v>
      </c>
      <c r="H55" s="191">
        <v>5.32</v>
      </c>
      <c r="I55" s="184">
        <v>319.20000000000005</v>
      </c>
      <c r="J55" s="184">
        <v>319.20000000000005</v>
      </c>
      <c r="K55" s="203">
        <f t="shared" si="7"/>
        <v>-13.199999999999932</v>
      </c>
      <c r="L55" s="204">
        <f t="shared" si="8"/>
        <v>-3.9711191335739866E-2</v>
      </c>
      <c r="M55" s="184"/>
      <c r="N55" s="184"/>
      <c r="O55" s="184"/>
    </row>
    <row r="56" spans="1:15">
      <c r="A56" s="205"/>
      <c r="B56" s="191"/>
      <c r="C56" s="206"/>
      <c r="D56" s="203"/>
      <c r="E56" s="203"/>
      <c r="F56" s="290">
        <v>45824</v>
      </c>
      <c r="G56" s="281">
        <v>60</v>
      </c>
      <c r="H56" s="184">
        <v>4.84</v>
      </c>
      <c r="I56" s="184">
        <v>290.39999999999998</v>
      </c>
      <c r="J56" s="184">
        <v>290.39999999999998</v>
      </c>
      <c r="K56" s="203">
        <f t="shared" si="7"/>
        <v>-28.800000000000068</v>
      </c>
      <c r="L56" s="204">
        <f t="shared" si="8"/>
        <v>-9.0225563909774639E-2</v>
      </c>
      <c r="M56" s="184"/>
      <c r="N56" s="184"/>
      <c r="O56" s="184"/>
    </row>
    <row r="57" spans="1:15">
      <c r="A57" s="207"/>
      <c r="B57" s="184"/>
      <c r="C57" s="184"/>
      <c r="D57" s="184"/>
      <c r="E57" s="184"/>
      <c r="F57" s="290">
        <v>45831</v>
      </c>
      <c r="G57" s="281">
        <v>60</v>
      </c>
      <c r="H57" s="184">
        <v>5.0599999999999996</v>
      </c>
      <c r="I57" s="184">
        <v>303.59999999999997</v>
      </c>
      <c r="J57" s="184">
        <v>303.59999999999997</v>
      </c>
      <c r="K57" s="203">
        <f t="shared" si="7"/>
        <v>13.199999999999989</v>
      </c>
      <c r="L57" s="204">
        <f t="shared" si="8"/>
        <v>4.5454545454545421E-2</v>
      </c>
      <c r="M57" s="184"/>
      <c r="N57" s="184"/>
      <c r="O57" s="184"/>
    </row>
    <row r="58" spans="1:15">
      <c r="A58" s="207"/>
      <c r="B58" s="184"/>
      <c r="C58" s="184"/>
      <c r="D58" s="184"/>
      <c r="E58" s="184"/>
      <c r="F58" s="290">
        <v>45838</v>
      </c>
      <c r="G58" s="281">
        <v>60</v>
      </c>
      <c r="H58" s="184">
        <v>4.75</v>
      </c>
      <c r="I58" s="184">
        <v>285</v>
      </c>
      <c r="J58" s="184">
        <v>285</v>
      </c>
      <c r="K58" s="203">
        <f t="shared" si="7"/>
        <v>-18.599999999999966</v>
      </c>
      <c r="L58" s="204">
        <f t="shared" si="8"/>
        <v>-6.1264822134387248E-2</v>
      </c>
      <c r="M58" s="184"/>
      <c r="N58" s="184"/>
      <c r="O58" s="184"/>
    </row>
    <row r="59" spans="1:15">
      <c r="A59" s="207"/>
      <c r="B59" s="184"/>
      <c r="C59" s="184"/>
      <c r="D59" s="184"/>
      <c r="E59" s="184"/>
      <c r="F59" s="290">
        <v>45842</v>
      </c>
      <c r="G59" s="281">
        <v>60</v>
      </c>
      <c r="H59" s="184">
        <v>4.42</v>
      </c>
      <c r="I59" s="184">
        <v>265.2</v>
      </c>
      <c r="J59" s="184">
        <v>265.2</v>
      </c>
      <c r="K59" s="203">
        <f t="shared" si="7"/>
        <v>-19.800000000000011</v>
      </c>
      <c r="L59" s="204">
        <f t="shared" si="8"/>
        <v>-6.9473684210526354E-2</v>
      </c>
      <c r="M59" s="184"/>
      <c r="N59" s="184"/>
      <c r="O59" s="184"/>
    </row>
    <row r="60" spans="1:15" ht="16.5" thickBot="1">
      <c r="A60" s="208"/>
      <c r="B60" s="185"/>
      <c r="C60" s="185"/>
      <c r="D60" s="185"/>
      <c r="E60" s="185"/>
      <c r="F60" s="185"/>
      <c r="G60" s="284"/>
      <c r="H60" s="185"/>
      <c r="I60" s="185"/>
      <c r="J60" s="185" t="s">
        <v>149</v>
      </c>
      <c r="K60" s="209">
        <f>J59-J52</f>
        <v>-69.000000000000057</v>
      </c>
      <c r="L60" s="210">
        <f>K60/J52</f>
        <v>-0.20646319569120303</v>
      </c>
      <c r="M60" s="184"/>
      <c r="N60" s="184"/>
      <c r="O60" s="184"/>
    </row>
    <row r="61" spans="1:15" ht="16.5" thickBot="1">
      <c r="A61" s="184"/>
      <c r="B61" s="211"/>
      <c r="C61" s="184"/>
      <c r="D61" s="184"/>
      <c r="E61" s="184"/>
      <c r="F61" s="184"/>
      <c r="G61" s="281"/>
      <c r="H61" s="184"/>
      <c r="I61" s="184"/>
      <c r="J61" s="184"/>
      <c r="K61" s="184"/>
      <c r="L61" s="184"/>
      <c r="M61" s="184"/>
      <c r="N61" s="184"/>
      <c r="O61" s="184"/>
    </row>
    <row r="62" spans="1:15">
      <c r="A62" s="192" t="s">
        <v>159</v>
      </c>
      <c r="B62" s="184" t="s">
        <v>61</v>
      </c>
      <c r="C62" s="193"/>
      <c r="D62" s="193"/>
      <c r="E62" s="193"/>
      <c r="F62" s="194">
        <v>45796</v>
      </c>
      <c r="G62" s="283">
        <v>65</v>
      </c>
      <c r="H62" s="196">
        <v>23.11</v>
      </c>
      <c r="I62" s="196">
        <v>1502.1499999999999</v>
      </c>
      <c r="J62" s="196">
        <v>1502.1499999999999</v>
      </c>
      <c r="K62" s="196"/>
      <c r="L62" s="197"/>
      <c r="M62" s="184"/>
      <c r="N62" s="184"/>
      <c r="O62" s="184"/>
    </row>
    <row r="63" spans="1:15">
      <c r="A63" s="199" t="s">
        <v>150</v>
      </c>
      <c r="B63" s="184" t="s">
        <v>62</v>
      </c>
      <c r="C63" s="200"/>
      <c r="D63" s="200"/>
      <c r="E63" s="201"/>
      <c r="F63" s="202">
        <v>45804</v>
      </c>
      <c r="G63" s="279">
        <v>65</v>
      </c>
      <c r="H63" s="206">
        <v>24.29</v>
      </c>
      <c r="I63" s="203">
        <v>1578.85</v>
      </c>
      <c r="J63" s="203">
        <v>1578.85</v>
      </c>
      <c r="K63" s="203">
        <f t="shared" ref="K63:K69" si="9">J63-J62</f>
        <v>76.700000000000045</v>
      </c>
      <c r="L63" s="204">
        <f t="shared" ref="L63:L69" si="10">K63/J62</f>
        <v>5.1060147122457843E-2</v>
      </c>
      <c r="M63" s="184"/>
      <c r="N63" s="184"/>
      <c r="O63" s="184"/>
    </row>
    <row r="64" spans="1:15">
      <c r="A64" s="199" t="s">
        <v>151</v>
      </c>
      <c r="B64" s="184" t="s">
        <v>58</v>
      </c>
      <c r="C64" s="200"/>
      <c r="D64" s="200"/>
      <c r="E64" s="201"/>
      <c r="F64" s="202">
        <v>45810</v>
      </c>
      <c r="G64" s="281">
        <v>65</v>
      </c>
      <c r="H64" s="184">
        <v>24.32</v>
      </c>
      <c r="I64" s="184">
        <v>1580.8</v>
      </c>
      <c r="J64" s="184">
        <v>1580.8</v>
      </c>
      <c r="K64" s="203">
        <f t="shared" si="9"/>
        <v>1.9500000000000455</v>
      </c>
      <c r="L64" s="204">
        <f t="shared" si="10"/>
        <v>1.2350761630300824E-3</v>
      </c>
      <c r="M64" s="184"/>
      <c r="N64" s="184"/>
      <c r="O64" s="184"/>
    </row>
    <row r="65" spans="1:15">
      <c r="A65" s="199" t="s">
        <v>152</v>
      </c>
      <c r="B65" s="184" t="s">
        <v>11</v>
      </c>
      <c r="C65" s="200"/>
      <c r="D65" s="200"/>
      <c r="E65" s="201"/>
      <c r="F65" s="275">
        <v>45817</v>
      </c>
      <c r="G65" s="279">
        <v>65</v>
      </c>
      <c r="H65" s="191">
        <v>24.7</v>
      </c>
      <c r="I65" s="184">
        <v>1605.5</v>
      </c>
      <c r="J65" s="184">
        <v>1605.5</v>
      </c>
      <c r="K65" s="203">
        <f t="shared" si="9"/>
        <v>24.700000000000045</v>
      </c>
      <c r="L65" s="204">
        <f t="shared" si="10"/>
        <v>1.5625000000000028E-2</v>
      </c>
      <c r="M65" s="184"/>
      <c r="N65" s="184"/>
      <c r="O65" s="184"/>
    </row>
    <row r="66" spans="1:15">
      <c r="A66" s="205"/>
      <c r="B66" s="191"/>
      <c r="C66" s="206"/>
      <c r="D66" s="203"/>
      <c r="E66" s="203"/>
      <c r="F66" s="290">
        <v>45824</v>
      </c>
      <c r="G66" s="281">
        <v>65</v>
      </c>
      <c r="H66" s="184">
        <v>27.62</v>
      </c>
      <c r="I66" s="184">
        <v>1795.3</v>
      </c>
      <c r="J66" s="184">
        <v>1795.3</v>
      </c>
      <c r="K66" s="203">
        <f t="shared" si="9"/>
        <v>189.79999999999995</v>
      </c>
      <c r="L66" s="204">
        <f t="shared" si="10"/>
        <v>0.11821862348178135</v>
      </c>
      <c r="M66" s="184"/>
      <c r="N66" s="184"/>
      <c r="O66" s="184"/>
    </row>
    <row r="67" spans="1:15">
      <c r="A67" s="207"/>
      <c r="B67" s="184"/>
      <c r="C67" s="184"/>
      <c r="D67" s="184"/>
      <c r="E67" s="184"/>
      <c r="F67" s="290">
        <v>45831</v>
      </c>
      <c r="G67" s="281">
        <v>65</v>
      </c>
      <c r="H67" s="184">
        <v>26.49</v>
      </c>
      <c r="I67" s="184">
        <v>1721.85</v>
      </c>
      <c r="J67" s="184">
        <v>1721.85</v>
      </c>
      <c r="K67" s="203">
        <f t="shared" si="9"/>
        <v>-73.450000000000045</v>
      </c>
      <c r="L67" s="204">
        <f t="shared" si="10"/>
        <v>-4.0912382331643765E-2</v>
      </c>
      <c r="M67" s="184"/>
      <c r="N67" s="184"/>
      <c r="O67" s="184"/>
    </row>
    <row r="68" spans="1:15">
      <c r="A68" s="207"/>
      <c r="B68" s="184"/>
      <c r="C68" s="184"/>
      <c r="D68" s="184"/>
      <c r="E68" s="184"/>
      <c r="F68" s="290">
        <v>45838</v>
      </c>
      <c r="G68" s="281">
        <v>65</v>
      </c>
      <c r="H68" s="184">
        <v>25.14</v>
      </c>
      <c r="I68" s="184">
        <v>1634.1000000000001</v>
      </c>
      <c r="J68" s="184">
        <v>1634.1000000000001</v>
      </c>
      <c r="K68" s="203">
        <f t="shared" si="9"/>
        <v>-87.749999999999773</v>
      </c>
      <c r="L68" s="204">
        <f t="shared" si="10"/>
        <v>-5.0962627406568387E-2</v>
      </c>
      <c r="M68" s="184"/>
      <c r="N68" s="184"/>
      <c r="O68" s="184"/>
    </row>
    <row r="69" spans="1:15">
      <c r="A69" s="207"/>
      <c r="B69" s="184"/>
      <c r="C69" s="184"/>
      <c r="D69" s="184"/>
      <c r="E69" s="184"/>
      <c r="F69" s="290">
        <v>45842</v>
      </c>
      <c r="G69" s="281">
        <v>65</v>
      </c>
      <c r="H69" s="184">
        <v>25.69</v>
      </c>
      <c r="I69" s="184">
        <v>1669.8500000000001</v>
      </c>
      <c r="J69" s="184">
        <v>1669.8500000000001</v>
      </c>
      <c r="K69" s="203">
        <f t="shared" si="9"/>
        <v>35.75</v>
      </c>
      <c r="L69" s="204">
        <f t="shared" si="10"/>
        <v>2.1877486077963405E-2</v>
      </c>
      <c r="M69" s="184"/>
      <c r="N69" s="184"/>
      <c r="O69" s="184"/>
    </row>
    <row r="70" spans="1:15" ht="16.5" thickBot="1">
      <c r="A70" s="208"/>
      <c r="B70" s="185"/>
      <c r="C70" s="185"/>
      <c r="D70" s="185"/>
      <c r="E70" s="185"/>
      <c r="F70" s="185"/>
      <c r="G70" s="284"/>
      <c r="H70" s="185"/>
      <c r="I70" s="185"/>
      <c r="J70" s="185" t="s">
        <v>149</v>
      </c>
      <c r="K70" s="209">
        <f>J69-J62</f>
        <v>167.70000000000027</v>
      </c>
      <c r="L70" s="210">
        <f>K70/J62</f>
        <v>0.11163998269147575</v>
      </c>
      <c r="M70" s="184"/>
      <c r="N70" s="184"/>
      <c r="O70" s="184"/>
    </row>
    <row r="71" spans="1:15" ht="16.5" thickBot="1">
      <c r="A71" s="184"/>
      <c r="B71" s="211"/>
      <c r="C71" s="184"/>
      <c r="D71" s="184"/>
      <c r="E71" s="184"/>
      <c r="F71" s="184"/>
      <c r="G71" s="281"/>
      <c r="H71" s="184"/>
      <c r="I71" s="184"/>
      <c r="J71" s="184"/>
      <c r="K71" s="184"/>
      <c r="L71" s="184"/>
      <c r="M71" s="184"/>
      <c r="N71" s="184"/>
      <c r="O71" s="184"/>
    </row>
    <row r="72" spans="1:15">
      <c r="A72" s="192" t="s">
        <v>159</v>
      </c>
      <c r="B72" s="184" t="s">
        <v>68</v>
      </c>
      <c r="C72" s="193"/>
      <c r="D72" s="193"/>
      <c r="E72" s="193"/>
      <c r="F72" s="194">
        <v>45796</v>
      </c>
      <c r="G72" s="283">
        <v>33</v>
      </c>
      <c r="H72" s="196">
        <v>44.77</v>
      </c>
      <c r="I72" s="196">
        <v>1477.41</v>
      </c>
      <c r="J72" s="196">
        <v>1477.41</v>
      </c>
      <c r="K72" s="196"/>
      <c r="L72" s="197"/>
      <c r="M72" s="184"/>
      <c r="N72" s="184"/>
      <c r="O72" s="184"/>
    </row>
    <row r="73" spans="1:15">
      <c r="A73" s="199" t="s">
        <v>150</v>
      </c>
      <c r="B73" s="184" t="s">
        <v>69</v>
      </c>
      <c r="C73" s="200"/>
      <c r="D73" s="200"/>
      <c r="E73" s="201"/>
      <c r="F73" s="202">
        <v>45804</v>
      </c>
      <c r="G73" s="279">
        <v>33</v>
      </c>
      <c r="H73" s="206">
        <v>44.22</v>
      </c>
      <c r="I73" s="203">
        <v>1459.26</v>
      </c>
      <c r="J73" s="203">
        <v>1459.26</v>
      </c>
      <c r="K73" s="203">
        <f t="shared" ref="K73:K79" si="11">J73-J72</f>
        <v>-18.150000000000091</v>
      </c>
      <c r="L73" s="204">
        <f t="shared" ref="L73:L79" si="12">K73/J72</f>
        <v>-1.2285012285012347E-2</v>
      </c>
      <c r="M73" s="184"/>
      <c r="N73" s="184"/>
      <c r="O73" s="184"/>
    </row>
    <row r="74" spans="1:15">
      <c r="A74" s="199" t="s">
        <v>151</v>
      </c>
      <c r="B74" s="184" t="s">
        <v>70</v>
      </c>
      <c r="C74" s="200"/>
      <c r="D74" s="200"/>
      <c r="E74" s="201"/>
      <c r="F74" s="202">
        <v>45810</v>
      </c>
      <c r="G74" s="279">
        <v>33</v>
      </c>
      <c r="H74" s="203">
        <v>44.08</v>
      </c>
      <c r="I74" s="201">
        <v>1454.6399999999999</v>
      </c>
      <c r="J74" s="201">
        <v>1454.6399999999999</v>
      </c>
      <c r="K74" s="203">
        <f t="shared" si="11"/>
        <v>-4.6200000000001182</v>
      </c>
      <c r="L74" s="204">
        <f t="shared" si="12"/>
        <v>-3.1659882406151873E-3</v>
      </c>
      <c r="M74" s="184"/>
      <c r="N74" s="184"/>
      <c r="O74" s="184"/>
    </row>
    <row r="75" spans="1:15">
      <c r="A75" s="199" t="s">
        <v>152</v>
      </c>
      <c r="B75" s="184" t="s">
        <v>11</v>
      </c>
      <c r="C75" s="200"/>
      <c r="D75" s="200"/>
      <c r="E75" s="201"/>
      <c r="F75" s="275">
        <v>45817</v>
      </c>
      <c r="G75" s="279">
        <v>33</v>
      </c>
      <c r="H75" s="191">
        <v>44.87</v>
      </c>
      <c r="I75" s="184">
        <v>1480.7099999999998</v>
      </c>
      <c r="J75" s="184">
        <v>1480.7099999999998</v>
      </c>
      <c r="K75" s="203">
        <f t="shared" si="11"/>
        <v>26.069999999999936</v>
      </c>
      <c r="L75" s="204">
        <f t="shared" si="12"/>
        <v>1.792196007259524E-2</v>
      </c>
      <c r="M75" s="184"/>
      <c r="N75" s="184"/>
      <c r="O75" s="184"/>
    </row>
    <row r="76" spans="1:15">
      <c r="A76" s="205"/>
      <c r="B76" s="191"/>
      <c r="C76" s="206"/>
      <c r="D76" s="203"/>
      <c r="E76" s="203"/>
      <c r="F76" s="290">
        <v>45824</v>
      </c>
      <c r="G76" s="281">
        <v>33</v>
      </c>
      <c r="H76" s="184">
        <v>44.41</v>
      </c>
      <c r="I76" s="184">
        <v>1465.53</v>
      </c>
      <c r="J76" s="184">
        <v>1465.53</v>
      </c>
      <c r="K76" s="203">
        <f t="shared" si="11"/>
        <v>-15.179999999999836</v>
      </c>
      <c r="L76" s="204">
        <f t="shared" si="12"/>
        <v>-1.0251838644974261E-2</v>
      </c>
      <c r="M76" s="184"/>
      <c r="N76" s="184"/>
      <c r="O76" s="184"/>
    </row>
    <row r="77" spans="1:15">
      <c r="A77" s="207"/>
      <c r="B77" s="184"/>
      <c r="C77" s="184"/>
      <c r="D77" s="184"/>
      <c r="E77" s="184"/>
      <c r="F77" s="290">
        <v>45831</v>
      </c>
      <c r="G77" s="281">
        <v>33</v>
      </c>
      <c r="H77" s="184">
        <v>46.3</v>
      </c>
      <c r="I77" s="184">
        <v>1527.8999999999999</v>
      </c>
      <c r="J77" s="184">
        <v>1527.8999999999999</v>
      </c>
      <c r="K77" s="203">
        <f t="shared" si="11"/>
        <v>62.369999999999891</v>
      </c>
      <c r="L77" s="204">
        <f t="shared" si="12"/>
        <v>4.2557982436388128E-2</v>
      </c>
      <c r="M77" s="184"/>
      <c r="N77" s="184"/>
      <c r="O77" s="184"/>
    </row>
    <row r="78" spans="1:15">
      <c r="A78" s="207"/>
      <c r="B78" s="184"/>
      <c r="C78" s="184"/>
      <c r="D78" s="184"/>
      <c r="E78" s="184"/>
      <c r="F78" s="290">
        <v>45838</v>
      </c>
      <c r="G78" s="281">
        <v>33</v>
      </c>
      <c r="H78" s="184">
        <v>47.32</v>
      </c>
      <c r="I78" s="184">
        <v>1561.56</v>
      </c>
      <c r="J78" s="184">
        <v>1561.56</v>
      </c>
      <c r="K78" s="203">
        <f t="shared" si="11"/>
        <v>33.660000000000082</v>
      </c>
      <c r="L78" s="204">
        <f t="shared" si="12"/>
        <v>2.2030237580993577E-2</v>
      </c>
      <c r="M78" s="184"/>
      <c r="N78" s="184"/>
      <c r="O78" s="184"/>
    </row>
    <row r="79" spans="1:15">
      <c r="A79" s="207"/>
      <c r="B79" s="184"/>
      <c r="C79" s="184"/>
      <c r="D79" s="184"/>
      <c r="E79" s="184"/>
      <c r="F79" s="290">
        <v>45842</v>
      </c>
      <c r="G79" s="281">
        <v>33</v>
      </c>
      <c r="H79" s="184">
        <v>48.93</v>
      </c>
      <c r="I79" s="184">
        <v>1614.69</v>
      </c>
      <c r="J79" s="184">
        <v>1614.69</v>
      </c>
      <c r="K79" s="203">
        <f t="shared" si="11"/>
        <v>53.130000000000109</v>
      </c>
      <c r="L79" s="204">
        <f t="shared" si="12"/>
        <v>3.4023668639053324E-2</v>
      </c>
      <c r="M79" s="184"/>
      <c r="N79" s="184"/>
      <c r="O79" s="184"/>
    </row>
    <row r="80" spans="1:15" ht="16.5" thickBot="1">
      <c r="A80" s="208"/>
      <c r="B80" s="185"/>
      <c r="C80" s="185"/>
      <c r="D80" s="185"/>
      <c r="E80" s="185"/>
      <c r="F80" s="185"/>
      <c r="G80" s="284"/>
      <c r="H80" s="185"/>
      <c r="I80" s="185"/>
      <c r="J80" s="185" t="s">
        <v>149</v>
      </c>
      <c r="K80" s="209">
        <f>J79-J72</f>
        <v>137.27999999999997</v>
      </c>
      <c r="L80" s="210">
        <f>K80/J72</f>
        <v>9.2919365646638344E-2</v>
      </c>
      <c r="M80" s="184"/>
      <c r="N80" s="184"/>
      <c r="O80" s="184"/>
    </row>
    <row r="81" spans="1:17" ht="16.5" thickBot="1">
      <c r="A81" s="184"/>
      <c r="B81" s="211"/>
      <c r="C81" s="184"/>
      <c r="D81" s="184"/>
      <c r="E81" s="184"/>
      <c r="F81" s="184"/>
      <c r="G81" s="281"/>
      <c r="H81" s="184"/>
      <c r="I81" s="184"/>
      <c r="J81" s="184"/>
      <c r="K81" s="184"/>
      <c r="L81" s="184"/>
      <c r="M81" s="184"/>
      <c r="N81" s="184"/>
      <c r="O81" s="184"/>
    </row>
    <row r="82" spans="1:17">
      <c r="A82" s="192" t="s">
        <v>159</v>
      </c>
      <c r="B82" s="184" t="s">
        <v>71</v>
      </c>
      <c r="C82" s="193"/>
      <c r="D82" s="193"/>
      <c r="E82" s="193"/>
      <c r="F82" s="194">
        <v>45796</v>
      </c>
      <c r="G82" s="283">
        <v>1</v>
      </c>
      <c r="H82" s="196">
        <v>367.9</v>
      </c>
      <c r="I82" s="196">
        <v>367.9</v>
      </c>
      <c r="J82" s="196">
        <v>367.9</v>
      </c>
      <c r="K82" s="196"/>
      <c r="L82" s="197"/>
      <c r="M82" s="184"/>
      <c r="N82" s="184"/>
      <c r="O82" s="184"/>
    </row>
    <row r="83" spans="1:17">
      <c r="A83" s="199" t="s">
        <v>150</v>
      </c>
      <c r="B83" s="184" t="s">
        <v>72</v>
      </c>
      <c r="C83" s="200"/>
      <c r="D83" s="200"/>
      <c r="E83" s="201"/>
      <c r="F83" s="202">
        <v>45804</v>
      </c>
      <c r="G83" s="279">
        <v>1</v>
      </c>
      <c r="H83" s="206">
        <v>359.3</v>
      </c>
      <c r="I83" s="203">
        <v>359.3</v>
      </c>
      <c r="J83" s="203">
        <v>359.3</v>
      </c>
      <c r="K83" s="203">
        <f t="shared" ref="K83:K87" si="13">J83-J82</f>
        <v>-8.5999999999999659</v>
      </c>
      <c r="L83" s="204">
        <f t="shared" ref="L83:L87" si="14">K83/J82</f>
        <v>-2.3375917368850141E-2</v>
      </c>
      <c r="M83" s="184"/>
      <c r="N83" s="184"/>
      <c r="O83" s="184"/>
    </row>
    <row r="84" spans="1:17">
      <c r="A84" s="199" t="s">
        <v>151</v>
      </c>
      <c r="B84" s="184" t="s">
        <v>70</v>
      </c>
      <c r="C84" s="200"/>
      <c r="D84" s="200"/>
      <c r="E84" s="201"/>
      <c r="F84" s="202">
        <v>45810</v>
      </c>
      <c r="G84" s="279">
        <v>1</v>
      </c>
      <c r="H84" s="203">
        <v>365.32</v>
      </c>
      <c r="I84" s="201">
        <v>365.32</v>
      </c>
      <c r="J84" s="201">
        <v>365.32</v>
      </c>
      <c r="K84" s="203">
        <f t="shared" si="13"/>
        <v>6.0199999999999818</v>
      </c>
      <c r="L84" s="204">
        <f t="shared" si="14"/>
        <v>1.6754801001948181E-2</v>
      </c>
      <c r="M84" s="184"/>
      <c r="N84" s="184"/>
      <c r="O84" s="184"/>
    </row>
    <row r="85" spans="1:17">
      <c r="A85" s="199" t="s">
        <v>152</v>
      </c>
      <c r="B85" s="184" t="s">
        <v>11</v>
      </c>
      <c r="C85" s="200"/>
      <c r="D85" s="200"/>
      <c r="E85" s="201"/>
      <c r="F85" s="275">
        <v>45817</v>
      </c>
      <c r="G85" s="279">
        <v>1</v>
      </c>
      <c r="H85" s="191">
        <v>366.66</v>
      </c>
      <c r="I85" s="184">
        <v>366.66</v>
      </c>
      <c r="J85" s="184">
        <v>366.66</v>
      </c>
      <c r="K85" s="203">
        <f t="shared" si="13"/>
        <v>1.3400000000000318</v>
      </c>
      <c r="L85" s="204">
        <f t="shared" si="14"/>
        <v>3.6680170809154492E-3</v>
      </c>
      <c r="M85" s="184"/>
      <c r="N85" s="184"/>
      <c r="O85" s="184"/>
    </row>
    <row r="86" spans="1:17">
      <c r="A86" s="205"/>
      <c r="B86" s="191"/>
      <c r="C86" s="206"/>
      <c r="D86" s="203"/>
      <c r="E86" s="203"/>
      <c r="F86" s="290">
        <v>45824</v>
      </c>
      <c r="G86" s="281">
        <v>1</v>
      </c>
      <c r="H86" s="184">
        <v>355.48</v>
      </c>
      <c r="I86" s="184">
        <v>355.48</v>
      </c>
      <c r="J86" s="184">
        <v>355.48</v>
      </c>
      <c r="K86" s="203">
        <f t="shared" si="13"/>
        <v>-11.180000000000007</v>
      </c>
      <c r="L86" s="204">
        <f t="shared" si="14"/>
        <v>-3.0491463481154221E-2</v>
      </c>
      <c r="M86" s="184"/>
      <c r="N86" s="184"/>
      <c r="O86" s="184"/>
    </row>
    <row r="87" spans="1:17">
      <c r="A87" s="207"/>
      <c r="B87" s="184"/>
      <c r="C87" s="184"/>
      <c r="D87" s="184"/>
      <c r="E87" s="184"/>
      <c r="F87" s="290">
        <v>45831</v>
      </c>
      <c r="G87" s="281">
        <v>1</v>
      </c>
      <c r="H87" s="184">
        <v>343.75</v>
      </c>
      <c r="I87" s="184">
        <v>343.75</v>
      </c>
      <c r="J87" s="184">
        <v>343.75</v>
      </c>
      <c r="K87" s="203">
        <f t="shared" si="13"/>
        <v>-11.730000000000018</v>
      </c>
      <c r="L87" s="204">
        <f t="shared" si="14"/>
        <v>-3.2997636997862095E-2</v>
      </c>
      <c r="M87" s="184" t="s">
        <v>168</v>
      </c>
      <c r="N87" s="184">
        <v>5</v>
      </c>
      <c r="O87" s="184">
        <v>343.75</v>
      </c>
      <c r="P87">
        <v>1718.75</v>
      </c>
      <c r="Q87">
        <v>1718.75</v>
      </c>
    </row>
    <row r="88" spans="1:17">
      <c r="A88" s="207"/>
      <c r="B88" s="184"/>
      <c r="C88" s="184"/>
      <c r="D88" s="184"/>
      <c r="E88" s="184"/>
      <c r="F88" s="290">
        <v>45838</v>
      </c>
      <c r="G88" s="281">
        <v>6</v>
      </c>
      <c r="H88" s="184">
        <v>355.05</v>
      </c>
      <c r="I88" s="184">
        <v>2130.3000000000002</v>
      </c>
      <c r="J88" s="184">
        <v>2130.3000000000002</v>
      </c>
      <c r="K88" s="203">
        <f>J88-J87-Q87</f>
        <v>67.800000000000182</v>
      </c>
      <c r="L88" s="204">
        <f>K88/(J87+Q87)</f>
        <v>3.2872727272727359E-2</v>
      </c>
      <c r="M88" s="184"/>
      <c r="N88" s="184"/>
      <c r="O88" s="184"/>
    </row>
    <row r="89" spans="1:17">
      <c r="A89" s="207"/>
      <c r="B89" s="184"/>
      <c r="C89" s="184"/>
      <c r="D89" s="184"/>
      <c r="E89" s="184"/>
      <c r="F89" s="290">
        <v>45842</v>
      </c>
      <c r="G89" s="281">
        <v>6</v>
      </c>
      <c r="H89" s="184">
        <v>358.86</v>
      </c>
      <c r="I89" s="184">
        <v>2153.16</v>
      </c>
      <c r="J89" s="184">
        <v>2153.16</v>
      </c>
      <c r="K89" s="203">
        <f>J89-J88-Q88</f>
        <v>22.859999999999673</v>
      </c>
      <c r="L89" s="204">
        <f>K89/(J88+Q88)</f>
        <v>1.0730882974228827E-2</v>
      </c>
      <c r="M89" s="184"/>
      <c r="N89" s="184"/>
      <c r="O89" s="184"/>
    </row>
    <row r="90" spans="1:17" ht="16.5" thickBot="1">
      <c r="A90" s="208"/>
      <c r="B90" s="185"/>
      <c r="C90" s="185"/>
      <c r="D90" s="185"/>
      <c r="E90" s="185"/>
      <c r="F90" s="185"/>
      <c r="G90" s="284"/>
      <c r="H90" s="185"/>
      <c r="I90" s="185"/>
      <c r="J90" s="185" t="s">
        <v>149</v>
      </c>
      <c r="K90" s="209">
        <f>(J89-Q87)-J82</f>
        <v>66.509999999999877</v>
      </c>
      <c r="L90" s="210">
        <f>K90/(J82+Q87)</f>
        <v>3.1874056502048678E-2</v>
      </c>
      <c r="M90" s="184"/>
      <c r="N90" s="184"/>
      <c r="O90" s="184"/>
    </row>
    <row r="91" spans="1:17" ht="16.5" thickBot="1">
      <c r="A91" s="184"/>
      <c r="B91" s="211"/>
      <c r="C91" s="184"/>
      <c r="D91" s="184"/>
      <c r="E91" s="184"/>
      <c r="F91" s="184"/>
      <c r="G91" s="281"/>
      <c r="H91" s="184"/>
      <c r="I91" s="184"/>
      <c r="J91" s="184"/>
      <c r="K91" s="184"/>
      <c r="L91" s="184"/>
      <c r="M91" s="184"/>
      <c r="N91" s="184"/>
      <c r="O91" s="184"/>
    </row>
    <row r="92" spans="1:17">
      <c r="A92" s="192" t="s">
        <v>159</v>
      </c>
      <c r="B92" s="184" t="s">
        <v>29</v>
      </c>
      <c r="C92" s="193"/>
      <c r="D92" s="193"/>
      <c r="E92" s="193"/>
      <c r="F92" s="194">
        <v>45796</v>
      </c>
      <c r="G92" s="283">
        <v>3</v>
      </c>
      <c r="H92" s="196">
        <v>1752.5</v>
      </c>
      <c r="I92" s="196">
        <v>5257.5</v>
      </c>
      <c r="J92" s="196">
        <v>5889.436540831186</v>
      </c>
      <c r="K92" s="196"/>
      <c r="L92" s="197"/>
      <c r="M92" s="184"/>
      <c r="N92" s="184"/>
      <c r="O92" s="184"/>
    </row>
    <row r="93" spans="1:17">
      <c r="A93" s="199" t="s">
        <v>150</v>
      </c>
      <c r="B93" s="184" t="s">
        <v>30</v>
      </c>
      <c r="C93" s="200"/>
      <c r="D93" s="200"/>
      <c r="E93" s="201"/>
      <c r="F93" s="202">
        <v>45804</v>
      </c>
      <c r="G93" s="281">
        <v>3</v>
      </c>
      <c r="H93" s="184">
        <v>1889</v>
      </c>
      <c r="I93" s="184">
        <v>5667</v>
      </c>
      <c r="J93" s="184">
        <v>6453.7068670994195</v>
      </c>
      <c r="K93" s="203">
        <f t="shared" ref="K93:K99" si="15">J93-J92</f>
        <v>564.27032626823348</v>
      </c>
      <c r="L93" s="204">
        <f t="shared" ref="L93:L99" si="16">K93/J92</f>
        <v>9.5810579221997538E-2</v>
      </c>
      <c r="M93" s="184"/>
      <c r="N93" s="184"/>
      <c r="O93" s="184"/>
    </row>
    <row r="94" spans="1:17">
      <c r="A94" s="199" t="s">
        <v>151</v>
      </c>
      <c r="B94" s="184" t="s">
        <v>73</v>
      </c>
      <c r="C94" s="200"/>
      <c r="D94" s="200"/>
      <c r="E94" s="201"/>
      <c r="F94" s="202">
        <v>45810</v>
      </c>
      <c r="G94" s="279">
        <v>3</v>
      </c>
      <c r="H94" s="203">
        <v>1819</v>
      </c>
      <c r="I94" s="201">
        <v>5457</v>
      </c>
      <c r="J94" s="201">
        <v>6195.5040871934607</v>
      </c>
      <c r="K94" s="203">
        <f t="shared" si="15"/>
        <v>-258.20277990595878</v>
      </c>
      <c r="L94" s="204">
        <f t="shared" si="16"/>
        <v>-4.0008445568276409E-2</v>
      </c>
      <c r="M94" s="184"/>
      <c r="N94" s="184"/>
      <c r="O94" s="184"/>
    </row>
    <row r="95" spans="1:17">
      <c r="A95" s="199" t="s">
        <v>152</v>
      </c>
      <c r="B95" s="184" t="s">
        <v>28</v>
      </c>
      <c r="C95" s="200"/>
      <c r="D95" s="200"/>
      <c r="E95" s="201"/>
      <c r="F95" s="275">
        <v>45817</v>
      </c>
      <c r="G95" s="279">
        <v>3</v>
      </c>
      <c r="H95" s="191">
        <v>1788</v>
      </c>
      <c r="I95" s="184">
        <v>5364</v>
      </c>
      <c r="J95" s="184">
        <v>6119.0965092402457</v>
      </c>
      <c r="K95" s="203">
        <f t="shared" si="15"/>
        <v>-76.407577953214968</v>
      </c>
      <c r="L95" s="204">
        <f t="shared" si="16"/>
        <v>-1.233274595220666E-2</v>
      </c>
      <c r="M95" s="184" t="s">
        <v>166</v>
      </c>
      <c r="N95" s="184">
        <v>0.4</v>
      </c>
      <c r="O95" s="184">
        <v>1788</v>
      </c>
      <c r="P95">
        <v>715.2</v>
      </c>
      <c r="Q95">
        <v>815.87953456536616</v>
      </c>
    </row>
    <row r="96" spans="1:17">
      <c r="A96" s="205"/>
      <c r="B96" s="191"/>
      <c r="C96" s="206"/>
      <c r="D96" s="203"/>
      <c r="E96" s="203"/>
      <c r="F96" s="290">
        <v>45824</v>
      </c>
      <c r="G96" s="280">
        <v>2.6</v>
      </c>
      <c r="H96" s="184">
        <v>1760</v>
      </c>
      <c r="I96" s="184">
        <v>4576</v>
      </c>
      <c r="J96" s="184">
        <v>5288.3393042875305</v>
      </c>
      <c r="K96" s="203">
        <f t="shared" si="15"/>
        <v>-830.75720495271526</v>
      </c>
      <c r="L96" s="204">
        <f t="shared" si="16"/>
        <v>-0.13576468416509141</v>
      </c>
      <c r="M96" s="184"/>
      <c r="N96" s="184"/>
      <c r="O96" s="184"/>
    </row>
    <row r="97" spans="1:17">
      <c r="A97" s="207"/>
      <c r="B97" s="184"/>
      <c r="C97" s="184"/>
      <c r="D97" s="184"/>
      <c r="E97" s="184"/>
      <c r="F97" s="290">
        <v>45831</v>
      </c>
      <c r="G97" s="280">
        <v>2.6</v>
      </c>
      <c r="H97" s="184">
        <v>1740</v>
      </c>
      <c r="I97" s="184">
        <v>4524</v>
      </c>
      <c r="J97" s="184">
        <v>5202.9902242668195</v>
      </c>
      <c r="K97" s="203">
        <f t="shared" si="15"/>
        <v>-85.349080020710971</v>
      </c>
      <c r="L97" s="204">
        <f t="shared" si="16"/>
        <v>-1.6139108160384878E-2</v>
      </c>
      <c r="M97" s="184"/>
      <c r="N97" s="184"/>
      <c r="O97" s="184"/>
    </row>
    <row r="98" spans="1:17">
      <c r="A98" s="207"/>
      <c r="B98" s="184"/>
      <c r="C98" s="184"/>
      <c r="D98" s="184"/>
      <c r="E98" s="184"/>
      <c r="F98" s="290">
        <v>45838</v>
      </c>
      <c r="G98" s="280">
        <v>2.6</v>
      </c>
      <c r="H98" s="184">
        <v>1797</v>
      </c>
      <c r="I98" s="184">
        <v>4672.2</v>
      </c>
      <c r="J98" s="184">
        <v>5479.3010437434032</v>
      </c>
      <c r="K98" s="203">
        <f t="shared" si="15"/>
        <v>276.31081947658367</v>
      </c>
      <c r="L98" s="204">
        <f t="shared" si="16"/>
        <v>5.3106157722124125E-2</v>
      </c>
      <c r="M98" s="184"/>
      <c r="N98" s="184"/>
      <c r="O98" s="184"/>
    </row>
    <row r="99" spans="1:17">
      <c r="A99" s="207"/>
      <c r="B99" s="184"/>
      <c r="C99" s="184"/>
      <c r="D99" s="184"/>
      <c r="E99" s="184"/>
      <c r="F99" s="290">
        <v>45842</v>
      </c>
      <c r="G99" s="280">
        <v>2.6</v>
      </c>
      <c r="H99" s="184">
        <v>1755</v>
      </c>
      <c r="I99" s="184">
        <v>4563</v>
      </c>
      <c r="J99" s="184">
        <v>5374.5583038869263</v>
      </c>
      <c r="K99" s="203">
        <f t="shared" si="15"/>
        <v>-104.74273985647687</v>
      </c>
      <c r="L99" s="204">
        <f t="shared" si="16"/>
        <v>-1.9116076853648779E-2</v>
      </c>
      <c r="M99" s="184"/>
      <c r="N99" s="184"/>
      <c r="O99" s="184"/>
    </row>
    <row r="100" spans="1:17" ht="16.5" thickBot="1">
      <c r="A100" s="208"/>
      <c r="B100" s="185"/>
      <c r="C100" s="185"/>
      <c r="D100" s="185"/>
      <c r="E100" s="185"/>
      <c r="F100" s="185"/>
      <c r="G100" s="284"/>
      <c r="H100" s="185"/>
      <c r="I100" s="185"/>
      <c r="J100" s="185" t="s">
        <v>149</v>
      </c>
      <c r="K100" s="209">
        <f>J99-J92+Q95</f>
        <v>301.00129762110646</v>
      </c>
      <c r="L100" s="210">
        <f>K100/(J92)</f>
        <v>5.1108674918946599E-2</v>
      </c>
      <c r="M100" s="184"/>
      <c r="N100" s="184"/>
      <c r="O100" s="184"/>
    </row>
    <row r="101" spans="1:17" ht="16.5" thickBot="1">
      <c r="A101" s="184"/>
      <c r="B101" s="211"/>
      <c r="C101" s="184"/>
      <c r="D101" s="184"/>
      <c r="E101" s="184"/>
      <c r="F101" s="184"/>
      <c r="G101" s="281"/>
      <c r="H101" s="184"/>
      <c r="I101" s="184"/>
      <c r="J101" s="184"/>
      <c r="K101" s="184"/>
      <c r="L101" s="184"/>
      <c r="M101" s="184"/>
      <c r="N101" s="184"/>
      <c r="O101" s="184"/>
    </row>
    <row r="102" spans="1:17">
      <c r="A102" s="192" t="s">
        <v>159</v>
      </c>
      <c r="B102" s="184" t="s">
        <v>31</v>
      </c>
      <c r="C102" s="193"/>
      <c r="D102" s="193"/>
      <c r="E102" s="193"/>
      <c r="F102" s="194">
        <v>45796</v>
      </c>
      <c r="G102" s="283">
        <v>2</v>
      </c>
      <c r="H102" s="196">
        <v>819.2</v>
      </c>
      <c r="I102" s="196">
        <v>1638.4</v>
      </c>
      <c r="J102" s="196">
        <v>2184.5333333333333</v>
      </c>
      <c r="K102" s="196"/>
      <c r="L102" s="197"/>
      <c r="M102" s="184"/>
      <c r="N102" s="184"/>
      <c r="O102" s="184"/>
    </row>
    <row r="103" spans="1:17">
      <c r="A103" s="199" t="s">
        <v>150</v>
      </c>
      <c r="B103" s="184" t="s">
        <v>32</v>
      </c>
      <c r="C103" s="200"/>
      <c r="D103" s="200"/>
      <c r="E103" s="201"/>
      <c r="F103" s="202">
        <v>45804</v>
      </c>
      <c r="G103" s="281">
        <v>2</v>
      </c>
      <c r="H103" s="184">
        <v>851.6</v>
      </c>
      <c r="I103" s="184">
        <v>1703.2</v>
      </c>
      <c r="J103" s="184">
        <v>2310.3635377102551</v>
      </c>
      <c r="K103" s="203">
        <f>J103-J102</f>
        <v>125.83020437692176</v>
      </c>
      <c r="L103" s="204">
        <f>K103/J102</f>
        <v>5.76004963883614E-2</v>
      </c>
      <c r="M103" s="184"/>
      <c r="N103" s="184"/>
      <c r="O103" s="184"/>
    </row>
    <row r="104" spans="1:17">
      <c r="A104" s="199" t="s">
        <v>151</v>
      </c>
      <c r="B104" s="184" t="s">
        <v>73</v>
      </c>
      <c r="C104" s="200"/>
      <c r="D104" s="200"/>
      <c r="E104" s="201"/>
      <c r="F104" s="202">
        <v>45810</v>
      </c>
      <c r="G104" s="281">
        <v>2</v>
      </c>
      <c r="H104" s="184">
        <v>868.8</v>
      </c>
      <c r="I104" s="184">
        <v>1737.6</v>
      </c>
      <c r="J104" s="184">
        <v>2340.2020202020199</v>
      </c>
      <c r="K104" s="203">
        <f>J104-J103</f>
        <v>29.838482491764807</v>
      </c>
      <c r="L104" s="204">
        <f>K104/J103</f>
        <v>1.2915059472128355E-2</v>
      </c>
      <c r="M104" s="184"/>
      <c r="N104" s="184"/>
      <c r="O104" s="184"/>
    </row>
    <row r="105" spans="1:17">
      <c r="A105" s="199" t="s">
        <v>152</v>
      </c>
      <c r="B105" s="184" t="s">
        <v>37</v>
      </c>
      <c r="C105" s="200"/>
      <c r="D105" s="200"/>
      <c r="E105" s="201"/>
      <c r="F105" s="275">
        <v>45817</v>
      </c>
      <c r="G105" s="279">
        <v>2</v>
      </c>
      <c r="H105" s="191">
        <v>888.2</v>
      </c>
      <c r="I105" s="184">
        <v>1776.4</v>
      </c>
      <c r="J105" s="184">
        <v>2404.7651279274401</v>
      </c>
      <c r="K105" s="203">
        <f>J105-J104</f>
        <v>64.563107725420195</v>
      </c>
      <c r="L105" s="204">
        <f>K105/J104</f>
        <v>2.7588689851590988E-2</v>
      </c>
      <c r="M105" s="184"/>
      <c r="N105" s="184"/>
      <c r="O105" s="184"/>
    </row>
    <row r="106" spans="1:17">
      <c r="A106" s="205"/>
      <c r="B106" s="191"/>
      <c r="C106" s="206"/>
      <c r="D106" s="203"/>
      <c r="E106" s="203"/>
      <c r="F106" s="290">
        <v>45824</v>
      </c>
      <c r="G106" s="281">
        <v>2</v>
      </c>
      <c r="H106" s="184">
        <v>885.4</v>
      </c>
      <c r="I106" s="184">
        <v>1770.8</v>
      </c>
      <c r="J106" s="184">
        <v>2400.7592190889368</v>
      </c>
      <c r="K106" s="203">
        <f>J106-J105</f>
        <v>-4.0059088385032737</v>
      </c>
      <c r="L106" s="204">
        <f>K106/J105</f>
        <v>-1.6658212446534386E-3</v>
      </c>
      <c r="M106" s="184"/>
      <c r="N106" s="184"/>
      <c r="O106" s="184"/>
    </row>
    <row r="107" spans="1:17">
      <c r="A107" s="207"/>
      <c r="B107" s="184"/>
      <c r="C107" s="184"/>
      <c r="D107" s="184"/>
      <c r="E107" s="184"/>
      <c r="F107" s="290">
        <v>45831</v>
      </c>
      <c r="G107" s="281">
        <v>2</v>
      </c>
      <c r="H107" s="184">
        <v>886.6</v>
      </c>
      <c r="I107" s="184">
        <v>1773.2</v>
      </c>
      <c r="J107" s="184">
        <v>2372.8087782684333</v>
      </c>
      <c r="K107" s="203">
        <f>J107-J106</f>
        <v>-27.950440820503445</v>
      </c>
      <c r="L107" s="204">
        <f>K107/J106</f>
        <v>-1.1642334057602972E-2</v>
      </c>
      <c r="M107" s="184" t="s">
        <v>168</v>
      </c>
      <c r="N107" s="184">
        <v>2</v>
      </c>
      <c r="O107" s="184">
        <v>886.6</v>
      </c>
      <c r="P107">
        <v>1773.2</v>
      </c>
      <c r="Q107">
        <v>2372.8087782684333</v>
      </c>
    </row>
    <row r="108" spans="1:17">
      <c r="A108" s="207"/>
      <c r="B108" s="184"/>
      <c r="C108" s="184"/>
      <c r="D108" s="184"/>
      <c r="E108" s="184"/>
      <c r="F108" s="290">
        <v>45838</v>
      </c>
      <c r="G108" s="281">
        <v>4</v>
      </c>
      <c r="H108" s="184">
        <v>967.6</v>
      </c>
      <c r="I108" s="184">
        <v>3870.4</v>
      </c>
      <c r="J108" s="184">
        <v>5309.9190561119494</v>
      </c>
      <c r="K108" s="203">
        <f>J108-J107-Q107</f>
        <v>564.30149957508274</v>
      </c>
      <c r="L108" s="204">
        <f>K108/(J107+Q107)</f>
        <v>0.118910024428282</v>
      </c>
      <c r="M108" s="184"/>
      <c r="N108" s="184"/>
      <c r="O108" s="184"/>
    </row>
    <row r="109" spans="1:17">
      <c r="A109" s="207"/>
      <c r="B109" s="184"/>
      <c r="C109" s="184"/>
      <c r="D109" s="184"/>
      <c r="E109" s="184"/>
      <c r="F109" s="290">
        <v>45842</v>
      </c>
      <c r="G109" s="281">
        <v>4</v>
      </c>
      <c r="H109" s="184">
        <v>962.6</v>
      </c>
      <c r="I109" s="184">
        <v>3850.4</v>
      </c>
      <c r="J109" s="184">
        <v>5255.0839361266544</v>
      </c>
      <c r="K109" s="203">
        <f>J109-J108-Q108</f>
        <v>-54.835119985295023</v>
      </c>
      <c r="L109" s="204">
        <f>K109/(J108+Q108)</f>
        <v>-1.0326922012526236E-2</v>
      </c>
      <c r="M109" s="184"/>
      <c r="N109" s="184"/>
      <c r="O109" s="184"/>
    </row>
    <row r="110" spans="1:17" ht="16.5" thickBot="1">
      <c r="A110" s="208"/>
      <c r="B110" s="185"/>
      <c r="C110" s="185"/>
      <c r="D110" s="185"/>
      <c r="E110" s="185"/>
      <c r="F110" s="185"/>
      <c r="G110" s="284"/>
      <c r="H110" s="185"/>
      <c r="I110" s="185"/>
      <c r="J110" s="185" t="s">
        <v>149</v>
      </c>
      <c r="K110" s="209">
        <f>J109-J102-Q107</f>
        <v>697.74182452488776</v>
      </c>
      <c r="L110" s="210">
        <f>K110/(J102+Q107)</f>
        <v>0.1531027970774072</v>
      </c>
      <c r="M110" s="184"/>
      <c r="N110" s="184"/>
      <c r="O110" s="184"/>
    </row>
    <row r="111" spans="1:17" ht="16.5" thickBot="1">
      <c r="A111" s="184"/>
      <c r="B111" s="211"/>
      <c r="C111" s="184"/>
      <c r="D111" s="184"/>
      <c r="E111" s="184"/>
      <c r="F111" s="184"/>
      <c r="G111" s="281"/>
      <c r="H111" s="184"/>
      <c r="I111" s="184"/>
      <c r="J111" s="184"/>
      <c r="K111" s="184"/>
      <c r="L111" s="184"/>
      <c r="M111" s="184"/>
      <c r="N111" s="184"/>
      <c r="O111" s="184"/>
    </row>
    <row r="112" spans="1:17">
      <c r="A112" s="192" t="s">
        <v>159</v>
      </c>
      <c r="B112" s="119" t="s">
        <v>176</v>
      </c>
      <c r="C112" s="193"/>
      <c r="D112" s="193"/>
      <c r="E112" s="193"/>
      <c r="F112" s="194"/>
      <c r="G112" s="283"/>
      <c r="H112" s="196"/>
      <c r="I112" s="196"/>
      <c r="J112" s="196"/>
      <c r="K112" s="196"/>
      <c r="L112" s="197"/>
    </row>
    <row r="113" spans="1:12">
      <c r="A113" s="199" t="s">
        <v>150</v>
      </c>
      <c r="B113" s="156" t="s">
        <v>188</v>
      </c>
      <c r="C113" s="200"/>
      <c r="D113" s="200"/>
      <c r="E113" s="201"/>
      <c r="F113" s="202"/>
      <c r="G113" s="281"/>
      <c r="H113" s="184"/>
      <c r="I113" s="184"/>
      <c r="J113" s="184"/>
      <c r="K113" s="203"/>
      <c r="L113" s="204"/>
    </row>
    <row r="114" spans="1:12">
      <c r="A114" s="199" t="s">
        <v>151</v>
      </c>
      <c r="B114" s="156" t="s">
        <v>189</v>
      </c>
      <c r="C114" s="200"/>
      <c r="D114" s="200"/>
      <c r="E114" s="201"/>
      <c r="F114" s="202">
        <v>45810</v>
      </c>
      <c r="G114" s="280">
        <v>0.1</v>
      </c>
      <c r="H114" s="184">
        <v>4651</v>
      </c>
      <c r="I114" s="184">
        <f>G114*H114</f>
        <v>465.1</v>
      </c>
      <c r="J114" s="276">
        <f>I114/0.7425</f>
        <v>626.39730639730635</v>
      </c>
      <c r="K114" s="203"/>
      <c r="L114" s="204"/>
    </row>
    <row r="115" spans="1:12">
      <c r="A115" s="199" t="s">
        <v>152</v>
      </c>
      <c r="B115" s="184" t="s">
        <v>37</v>
      </c>
      <c r="C115" s="200"/>
      <c r="D115" s="200"/>
      <c r="E115" s="201"/>
      <c r="F115" s="275">
        <v>45817</v>
      </c>
      <c r="G115" s="278">
        <v>0.1</v>
      </c>
      <c r="H115" s="191">
        <v>4620</v>
      </c>
      <c r="I115" s="184">
        <v>462</v>
      </c>
      <c r="J115" s="184">
        <v>625.42304047651282</v>
      </c>
      <c r="K115" s="203">
        <f>J115-J114</f>
        <v>-0.97426592079352758</v>
      </c>
      <c r="L115" s="204">
        <f>K115/J114</f>
        <v>-1.5553481964936449E-3</v>
      </c>
    </row>
    <row r="116" spans="1:12">
      <c r="A116" s="205"/>
      <c r="B116" s="191"/>
      <c r="C116" s="206"/>
      <c r="D116" s="203"/>
      <c r="E116" s="203"/>
      <c r="F116" s="290">
        <v>45824</v>
      </c>
      <c r="G116" s="280">
        <v>0.1</v>
      </c>
      <c r="H116" s="184">
        <v>4632</v>
      </c>
      <c r="I116" s="184">
        <v>463.20000000000005</v>
      </c>
      <c r="J116" s="184">
        <v>627.98264642082438</v>
      </c>
      <c r="K116" s="203">
        <f>J116-J115</f>
        <v>2.5596059443115564</v>
      </c>
      <c r="L116" s="204">
        <f>K116/J115</f>
        <v>4.0925993745951229E-3</v>
      </c>
    </row>
    <row r="117" spans="1:12">
      <c r="A117" s="207"/>
      <c r="B117" s="184"/>
      <c r="C117" s="184"/>
      <c r="D117" s="184"/>
      <c r="E117" s="184"/>
      <c r="F117" s="290">
        <v>45831</v>
      </c>
      <c r="G117" s="280">
        <v>0.1</v>
      </c>
      <c r="H117" s="184">
        <v>4578</v>
      </c>
      <c r="I117" s="184">
        <v>457.8</v>
      </c>
      <c r="J117" s="184">
        <v>612.60537936571666</v>
      </c>
      <c r="K117" s="203">
        <f>J117-J116</f>
        <v>-15.377267055107723</v>
      </c>
      <c r="L117" s="204">
        <f>K117/J116</f>
        <v>-2.4486770681881379E-2</v>
      </c>
    </row>
    <row r="118" spans="1:12">
      <c r="A118" s="207"/>
      <c r="B118" s="184"/>
      <c r="C118" s="184"/>
      <c r="D118" s="184"/>
      <c r="E118" s="184"/>
      <c r="F118" s="290">
        <v>45838</v>
      </c>
      <c r="G118" s="280">
        <v>0.1</v>
      </c>
      <c r="H118" s="184">
        <v>4425</v>
      </c>
      <c r="I118" s="184">
        <v>442.5</v>
      </c>
      <c r="J118" s="184">
        <v>607.07916037865277</v>
      </c>
      <c r="K118" s="203">
        <f>J118-J117</f>
        <v>-5.5262189870638849</v>
      </c>
      <c r="L118" s="204">
        <f>K118/J117</f>
        <v>-9.0208463281626055E-3</v>
      </c>
    </row>
    <row r="119" spans="1:12">
      <c r="A119" s="207"/>
      <c r="B119" s="184"/>
      <c r="C119" s="184"/>
      <c r="D119" s="184"/>
      <c r="E119" s="184"/>
      <c r="F119" s="290">
        <v>45842</v>
      </c>
      <c r="G119" s="280">
        <v>0.1</v>
      </c>
      <c r="H119" s="184">
        <v>4505</v>
      </c>
      <c r="I119" s="184">
        <v>450.5</v>
      </c>
      <c r="J119" s="184">
        <v>614.84918793503482</v>
      </c>
      <c r="K119" s="203">
        <f>J119-J118</f>
        <v>7.7700275563820469</v>
      </c>
      <c r="L119" s="204">
        <f>K119/J118</f>
        <v>1.2799035222252822E-2</v>
      </c>
    </row>
    <row r="120" spans="1:12" ht="16.5" thickBot="1">
      <c r="A120" s="208"/>
      <c r="B120" s="185"/>
      <c r="C120" s="185"/>
      <c r="D120" s="185"/>
      <c r="E120" s="185"/>
      <c r="F120" s="185"/>
      <c r="G120" s="284"/>
      <c r="H120" s="185"/>
      <c r="I120" s="185"/>
      <c r="J120" s="185" t="s">
        <v>149</v>
      </c>
      <c r="K120" s="209">
        <f>J119-J114</f>
        <v>-11.548118462271532</v>
      </c>
      <c r="L120" s="210">
        <f>K120/J114</f>
        <v>-1.8435772862258896E-2</v>
      </c>
    </row>
    <row r="121" spans="1:12" ht="16.5" thickBot="1">
      <c r="B121" s="238"/>
    </row>
    <row r="122" spans="1:12">
      <c r="A122" s="192" t="s">
        <v>159</v>
      </c>
      <c r="B122" s="119" t="s">
        <v>178</v>
      </c>
      <c r="C122" s="193"/>
      <c r="D122" s="193"/>
      <c r="E122" s="193"/>
      <c r="F122" s="194"/>
      <c r="G122" s="283"/>
      <c r="H122" s="196"/>
      <c r="I122" s="196"/>
      <c r="J122" s="196"/>
      <c r="K122" s="196"/>
      <c r="L122" s="197"/>
    </row>
    <row r="123" spans="1:12">
      <c r="A123" s="199" t="s">
        <v>150</v>
      </c>
      <c r="B123" s="156" t="s">
        <v>190</v>
      </c>
      <c r="C123" s="200"/>
      <c r="D123" s="200"/>
      <c r="E123" s="201"/>
      <c r="F123" s="202"/>
      <c r="G123" s="281"/>
      <c r="H123" s="184"/>
      <c r="I123" s="184"/>
      <c r="J123" s="184"/>
      <c r="K123" s="203"/>
      <c r="L123" s="204"/>
    </row>
    <row r="124" spans="1:12">
      <c r="A124" s="199" t="s">
        <v>151</v>
      </c>
      <c r="B124" s="156" t="s">
        <v>70</v>
      </c>
      <c r="C124" s="200"/>
      <c r="D124" s="200"/>
      <c r="E124" s="201"/>
      <c r="F124" s="202">
        <v>45810</v>
      </c>
      <c r="G124" s="281">
        <v>50</v>
      </c>
      <c r="H124" s="184">
        <v>76.709999999999994</v>
      </c>
      <c r="I124" s="184">
        <f>G124*H124</f>
        <v>3835.4999999999995</v>
      </c>
      <c r="J124" s="276">
        <f>I124/0.8808</f>
        <v>4354.5640326975472</v>
      </c>
      <c r="K124" s="203"/>
      <c r="L124" s="204"/>
    </row>
    <row r="125" spans="1:12">
      <c r="A125" s="199" t="s">
        <v>152</v>
      </c>
      <c r="B125" s="156" t="s">
        <v>28</v>
      </c>
      <c r="C125" s="200"/>
      <c r="D125" s="200"/>
      <c r="E125" s="201"/>
      <c r="F125" s="275">
        <v>45817</v>
      </c>
      <c r="G125" s="279">
        <v>50</v>
      </c>
      <c r="H125" s="191">
        <v>78.489999999999995</v>
      </c>
      <c r="I125" s="184">
        <v>3924.4999999999995</v>
      </c>
      <c r="J125" s="184">
        <v>4476.956422541637</v>
      </c>
      <c r="K125" s="203">
        <f>J125-J124</f>
        <v>122.39238984408985</v>
      </c>
      <c r="L125" s="204">
        <f>K125/J124</f>
        <v>2.8106691950117155E-2</v>
      </c>
    </row>
    <row r="126" spans="1:12">
      <c r="A126" s="205"/>
      <c r="B126" s="191"/>
      <c r="C126" s="206"/>
      <c r="D126" s="203"/>
      <c r="E126" s="203"/>
      <c r="F126" s="290">
        <v>45824</v>
      </c>
      <c r="G126" s="281">
        <v>50</v>
      </c>
      <c r="H126" s="184">
        <v>77.5</v>
      </c>
      <c r="I126" s="184">
        <v>3875</v>
      </c>
      <c r="J126" s="184">
        <v>4478.2156477522249</v>
      </c>
      <c r="K126" s="203">
        <f>J126-J125</f>
        <v>1.2592252105878288</v>
      </c>
      <c r="L126" s="204">
        <f>K126/J125</f>
        <v>2.8126814106288467E-4</v>
      </c>
    </row>
    <row r="127" spans="1:12">
      <c r="A127" s="207"/>
      <c r="B127" s="184"/>
      <c r="C127" s="184"/>
      <c r="D127" s="184"/>
      <c r="E127" s="184"/>
      <c r="F127" s="290">
        <v>45831</v>
      </c>
      <c r="G127" s="281">
        <v>50</v>
      </c>
      <c r="H127" s="184">
        <v>73.08</v>
      </c>
      <c r="I127" s="184">
        <v>3654</v>
      </c>
      <c r="J127" s="184">
        <v>4202.4151811385855</v>
      </c>
      <c r="K127" s="203">
        <f>J127-J126</f>
        <v>-275.8004666136394</v>
      </c>
      <c r="L127" s="204">
        <f>K127/J126</f>
        <v>-6.1587133873750234E-2</v>
      </c>
    </row>
    <row r="128" spans="1:12">
      <c r="A128" s="207"/>
      <c r="B128" s="184"/>
      <c r="C128" s="184"/>
      <c r="D128" s="184"/>
      <c r="E128" s="184"/>
      <c r="F128" s="290">
        <v>45838</v>
      </c>
      <c r="G128" s="281">
        <v>50</v>
      </c>
      <c r="H128" s="184">
        <v>76.319999999999993</v>
      </c>
      <c r="I128" s="184">
        <v>3815.9999999999995</v>
      </c>
      <c r="J128" s="184">
        <v>4475.1964348539923</v>
      </c>
      <c r="K128" s="203">
        <f>J128-J127</f>
        <v>272.78125371540682</v>
      </c>
      <c r="L128" s="204">
        <f>K128/J127</f>
        <v>6.4910591161890047E-2</v>
      </c>
    </row>
    <row r="129" spans="1:12">
      <c r="A129" s="207"/>
      <c r="B129" s="184"/>
      <c r="C129" s="184"/>
      <c r="D129" s="184"/>
      <c r="E129" s="184"/>
      <c r="F129" s="290">
        <v>45842</v>
      </c>
      <c r="G129" s="281">
        <v>50</v>
      </c>
      <c r="H129" s="184">
        <v>74.88</v>
      </c>
      <c r="I129" s="184">
        <v>3744</v>
      </c>
      <c r="J129" s="184">
        <v>4409.8939929328626</v>
      </c>
      <c r="K129" s="203">
        <f>J129-J128</f>
        <v>-65.302441921129684</v>
      </c>
      <c r="L129" s="204">
        <f>K129/J128</f>
        <v>-1.4592083916705266E-2</v>
      </c>
    </row>
    <row r="130" spans="1:12" ht="16.5" thickBot="1">
      <c r="A130" s="208"/>
      <c r="B130" s="185"/>
      <c r="C130" s="185"/>
      <c r="D130" s="185"/>
      <c r="E130" s="185"/>
      <c r="F130" s="185"/>
      <c r="G130" s="284"/>
      <c r="H130" s="185"/>
      <c r="I130" s="185"/>
      <c r="J130" s="185" t="s">
        <v>149</v>
      </c>
      <c r="K130" s="209">
        <f>J129-J124</f>
        <v>55.329960235315411</v>
      </c>
      <c r="L130" s="210">
        <f>K130/J124</f>
        <v>1.270619970675683E-2</v>
      </c>
    </row>
    <row r="131" spans="1:12" ht="16.5" thickBot="1">
      <c r="B131" s="238"/>
    </row>
    <row r="132" spans="1:12">
      <c r="A132" s="192" t="s">
        <v>159</v>
      </c>
      <c r="B132" s="119" t="s">
        <v>179</v>
      </c>
      <c r="C132" s="193"/>
      <c r="D132" s="193"/>
      <c r="E132" s="193"/>
      <c r="F132" s="194"/>
      <c r="G132" s="283"/>
      <c r="H132" s="196"/>
      <c r="I132" s="196"/>
      <c r="J132" s="196"/>
      <c r="K132" s="196"/>
      <c r="L132" s="197"/>
    </row>
    <row r="133" spans="1:12">
      <c r="A133" s="199" t="s">
        <v>150</v>
      </c>
      <c r="B133" s="156" t="s">
        <v>191</v>
      </c>
      <c r="C133" s="200"/>
      <c r="D133" s="200"/>
      <c r="E133" s="201"/>
      <c r="F133" s="202"/>
      <c r="G133" s="281"/>
      <c r="H133" s="184"/>
      <c r="I133" s="184"/>
      <c r="J133" s="184"/>
      <c r="K133" s="203"/>
      <c r="L133" s="204"/>
    </row>
    <row r="134" spans="1:12">
      <c r="A134" s="199" t="s">
        <v>151</v>
      </c>
      <c r="B134" s="156" t="s">
        <v>189</v>
      </c>
      <c r="C134" s="200"/>
      <c r="D134" s="200"/>
      <c r="E134" s="201"/>
      <c r="F134" s="202">
        <v>45810</v>
      </c>
      <c r="G134" s="281">
        <v>1.5</v>
      </c>
      <c r="H134" s="184">
        <v>1988</v>
      </c>
      <c r="I134" s="184">
        <f>G134*H134</f>
        <v>2982</v>
      </c>
      <c r="J134" s="276">
        <f>I134/0.7425</f>
        <v>4016.1616161616157</v>
      </c>
      <c r="K134" s="203"/>
      <c r="L134" s="204"/>
    </row>
    <row r="135" spans="1:12">
      <c r="A135" s="199" t="s">
        <v>152</v>
      </c>
      <c r="B135" s="156" t="s">
        <v>37</v>
      </c>
      <c r="C135" s="200"/>
      <c r="D135" s="200"/>
      <c r="E135" s="201"/>
      <c r="F135" s="275">
        <v>45817</v>
      </c>
      <c r="G135" s="279">
        <v>1.5</v>
      </c>
      <c r="H135" s="191">
        <v>1973.5</v>
      </c>
      <c r="I135" s="184">
        <v>2960.25</v>
      </c>
      <c r="J135" s="184">
        <v>4007.3778259103829</v>
      </c>
      <c r="K135" s="203">
        <f>J135-J134</f>
        <v>-8.7837902512328583</v>
      </c>
      <c r="L135" s="204">
        <f>K135/J134</f>
        <v>-2.1871107516902742E-3</v>
      </c>
    </row>
    <row r="136" spans="1:12">
      <c r="A136" s="205"/>
      <c r="B136" s="191"/>
      <c r="C136" s="206"/>
      <c r="D136" s="203"/>
      <c r="E136" s="203"/>
      <c r="F136" s="290">
        <v>45824</v>
      </c>
      <c r="G136" s="281">
        <v>1.5</v>
      </c>
      <c r="H136" s="184">
        <v>1906</v>
      </c>
      <c r="I136" s="184">
        <v>2859</v>
      </c>
      <c r="J136" s="184">
        <v>3876.0845986984814</v>
      </c>
      <c r="K136" s="203">
        <f>J136-J135</f>
        <v>-131.29322721190147</v>
      </c>
      <c r="L136" s="204">
        <f>K136/J135</f>
        <v>-3.2762877102079764E-2</v>
      </c>
    </row>
    <row r="137" spans="1:12">
      <c r="A137" s="207"/>
      <c r="B137" s="184"/>
      <c r="C137" s="184"/>
      <c r="D137" s="184"/>
      <c r="E137" s="184"/>
      <c r="F137" s="290">
        <v>45831</v>
      </c>
      <c r="G137" s="281">
        <v>1.5</v>
      </c>
      <c r="H137" s="184">
        <v>1848.5</v>
      </c>
      <c r="I137" s="184">
        <v>2772.75</v>
      </c>
      <c r="J137" s="184">
        <v>3710.3572862304295</v>
      </c>
      <c r="K137" s="203">
        <f>J137-J136</f>
        <v>-165.72731246805188</v>
      </c>
      <c r="L137" s="204">
        <f>K137/J136</f>
        <v>-4.2756371345377776E-2</v>
      </c>
    </row>
    <row r="138" spans="1:12">
      <c r="A138" s="207"/>
      <c r="B138" s="184"/>
      <c r="C138" s="184"/>
      <c r="D138" s="184"/>
      <c r="E138" s="184"/>
      <c r="F138" s="290">
        <v>45838</v>
      </c>
      <c r="G138" s="281">
        <v>1.5</v>
      </c>
      <c r="H138" s="184">
        <v>1828</v>
      </c>
      <c r="I138" s="184">
        <v>2742</v>
      </c>
      <c r="J138" s="184">
        <v>3761.8328988887365</v>
      </c>
      <c r="K138" s="203">
        <f>J138-J137</f>
        <v>51.475612658307</v>
      </c>
      <c r="L138" s="204">
        <f>K138/J137</f>
        <v>1.3873492143017878E-2</v>
      </c>
    </row>
    <row r="139" spans="1:12">
      <c r="A139" s="207"/>
      <c r="B139" s="184"/>
      <c r="C139" s="184"/>
      <c r="D139" s="184"/>
      <c r="E139" s="184"/>
      <c r="F139" s="290">
        <v>45842</v>
      </c>
      <c r="G139" s="281">
        <v>1.5</v>
      </c>
      <c r="H139" s="184">
        <v>1908.5</v>
      </c>
      <c r="I139" s="184">
        <v>2862.75</v>
      </c>
      <c r="J139" s="184">
        <v>3907.1243346526544</v>
      </c>
      <c r="K139" s="203">
        <f>J139-J138</f>
        <v>145.29143576391789</v>
      </c>
      <c r="L139" s="204">
        <f>K139/J138</f>
        <v>3.8622511862990427E-2</v>
      </c>
    </row>
    <row r="140" spans="1:12" ht="16.5" thickBot="1">
      <c r="A140" s="208"/>
      <c r="B140" s="185"/>
      <c r="C140" s="185"/>
      <c r="D140" s="185"/>
      <c r="E140" s="185"/>
      <c r="F140" s="185"/>
      <c r="G140" s="284"/>
      <c r="H140" s="185"/>
      <c r="I140" s="185"/>
      <c r="J140" s="185" t="s">
        <v>149</v>
      </c>
      <c r="K140" s="209">
        <f>J139-J134</f>
        <v>-109.03728150896131</v>
      </c>
      <c r="L140" s="210">
        <f>K140/J134</f>
        <v>-2.7149624923005964E-2</v>
      </c>
    </row>
    <row r="141" spans="1:12" ht="16.5" thickBot="1">
      <c r="B141" s="238"/>
    </row>
    <row r="142" spans="1:12">
      <c r="A142" s="192" t="s">
        <v>159</v>
      </c>
      <c r="B142" s="119" t="s">
        <v>180</v>
      </c>
      <c r="C142" s="193"/>
      <c r="D142" s="193"/>
      <c r="E142" s="193"/>
      <c r="F142" s="194"/>
      <c r="G142" s="283"/>
      <c r="H142" s="196"/>
      <c r="I142" s="196"/>
      <c r="J142" s="196"/>
      <c r="K142" s="196"/>
      <c r="L142" s="197"/>
    </row>
    <row r="143" spans="1:12">
      <c r="A143" s="199" t="s">
        <v>150</v>
      </c>
      <c r="B143" s="156" t="s">
        <v>192</v>
      </c>
      <c r="C143" s="200"/>
      <c r="D143" s="200"/>
      <c r="E143" s="201"/>
      <c r="F143" s="202"/>
      <c r="G143" s="281"/>
      <c r="H143" s="184"/>
      <c r="I143" s="184"/>
      <c r="J143" s="184"/>
      <c r="K143" s="203"/>
      <c r="L143" s="204"/>
    </row>
    <row r="144" spans="1:12">
      <c r="A144" s="199" t="s">
        <v>151</v>
      </c>
      <c r="B144" s="156" t="s">
        <v>189</v>
      </c>
      <c r="C144" s="200"/>
      <c r="D144" s="200"/>
      <c r="E144" s="201"/>
      <c r="F144" s="202">
        <v>45810</v>
      </c>
      <c r="G144" s="281">
        <v>0.6</v>
      </c>
      <c r="H144" s="184">
        <v>4982</v>
      </c>
      <c r="I144" s="184">
        <f>G144*H144</f>
        <v>2989.2</v>
      </c>
      <c r="J144" s="184">
        <f>I144/0.7425</f>
        <v>4025.8585858585852</v>
      </c>
      <c r="K144" s="203"/>
      <c r="L144" s="204"/>
    </row>
    <row r="145" spans="1:12">
      <c r="A145" s="199" t="s">
        <v>152</v>
      </c>
      <c r="B145" s="156" t="s">
        <v>37</v>
      </c>
      <c r="C145" s="200"/>
      <c r="D145" s="200"/>
      <c r="E145" s="201"/>
      <c r="F145" s="275">
        <v>45817</v>
      </c>
      <c r="G145" s="279">
        <v>0.6</v>
      </c>
      <c r="H145" s="191">
        <v>5114</v>
      </c>
      <c r="I145" s="184">
        <v>3068.4</v>
      </c>
      <c r="J145" s="184">
        <v>4153.78367402193</v>
      </c>
      <c r="K145" s="203">
        <f>J145-J144</f>
        <v>127.92508816334475</v>
      </c>
      <c r="L145" s="204">
        <f>K145/J144</f>
        <v>3.1775852389028331E-2</v>
      </c>
    </row>
    <row r="146" spans="1:12">
      <c r="A146" s="205"/>
      <c r="B146" s="191"/>
      <c r="C146" s="206"/>
      <c r="D146" s="203"/>
      <c r="E146" s="203"/>
      <c r="F146" s="290">
        <v>45824</v>
      </c>
      <c r="G146" s="281">
        <v>0.6</v>
      </c>
      <c r="H146" s="184">
        <v>5086</v>
      </c>
      <c r="I146" s="184">
        <v>3051.6</v>
      </c>
      <c r="J146" s="184">
        <v>4137.2017353579176</v>
      </c>
      <c r="K146" s="203">
        <f>J146-J145</f>
        <v>-16.581938664012341</v>
      </c>
      <c r="L146" s="204">
        <f>K146/J145</f>
        <v>-3.9920082424409848E-3</v>
      </c>
    </row>
    <row r="147" spans="1:12">
      <c r="A147" s="207"/>
      <c r="B147" s="184"/>
      <c r="C147" s="184"/>
      <c r="D147" s="184"/>
      <c r="E147" s="184"/>
      <c r="F147" s="290">
        <v>45831</v>
      </c>
      <c r="G147" s="281">
        <v>0.6</v>
      </c>
      <c r="H147" s="184">
        <v>5050</v>
      </c>
      <c r="I147" s="184">
        <v>3030</v>
      </c>
      <c r="J147" s="184">
        <v>4054.5965475712569</v>
      </c>
      <c r="K147" s="203">
        <f>J147-J146</f>
        <v>-82.605187786660736</v>
      </c>
      <c r="L147" s="204">
        <f>K147/J146</f>
        <v>-1.9966439412583876E-2</v>
      </c>
    </row>
    <row r="148" spans="1:12">
      <c r="A148" s="207"/>
      <c r="B148" s="184"/>
      <c r="C148" s="184"/>
      <c r="D148" s="184"/>
      <c r="E148" s="184"/>
      <c r="F148" s="290">
        <v>45838</v>
      </c>
      <c r="G148" s="281">
        <v>0.6</v>
      </c>
      <c r="H148" s="184">
        <v>4955</v>
      </c>
      <c r="I148" s="184">
        <v>2973</v>
      </c>
      <c r="J148" s="184">
        <v>4078.7487995609822</v>
      </c>
      <c r="K148" s="203">
        <f>J148-J147</f>
        <v>24.152251989725301</v>
      </c>
      <c r="L148" s="204">
        <f>K148/J147</f>
        <v>5.9567583867728433E-3</v>
      </c>
    </row>
    <row r="149" spans="1:12">
      <c r="A149" s="207"/>
      <c r="B149" s="184"/>
      <c r="C149" s="184"/>
      <c r="D149" s="184"/>
      <c r="E149" s="184"/>
      <c r="F149" s="290">
        <v>45842</v>
      </c>
      <c r="G149" s="281">
        <v>0.6</v>
      </c>
      <c r="H149" s="184">
        <v>5060</v>
      </c>
      <c r="I149" s="184">
        <v>3036</v>
      </c>
      <c r="J149" s="184">
        <v>4143.5785451071379</v>
      </c>
      <c r="K149" s="203">
        <f>J149-J148</f>
        <v>64.829745546155664</v>
      </c>
      <c r="L149" s="204">
        <f>K149/J148</f>
        <v>1.5894517836728177E-2</v>
      </c>
    </row>
    <row r="150" spans="1:12" ht="16.5" thickBot="1">
      <c r="A150" s="208"/>
      <c r="B150" s="185"/>
      <c r="C150" s="185"/>
      <c r="D150" s="185"/>
      <c r="E150" s="185"/>
      <c r="F150" s="185"/>
      <c r="G150" s="284"/>
      <c r="H150" s="185"/>
      <c r="I150" s="185"/>
      <c r="J150" s="185" t="s">
        <v>149</v>
      </c>
      <c r="K150" s="209">
        <f>J149-J144</f>
        <v>117.71995924855264</v>
      </c>
      <c r="L150" s="210">
        <f>K150/J144</f>
        <v>2.9240957360514637E-2</v>
      </c>
    </row>
  </sheetData>
  <conditionalFormatting sqref="K2:K9">
    <cfRule type="cellIs" dxfId="51" priority="45" operator="lessThan">
      <formula>0</formula>
    </cfRule>
    <cfRule type="cellIs" dxfId="50" priority="46" operator="greaterThan">
      <formula>0</formula>
    </cfRule>
  </conditionalFormatting>
  <conditionalFormatting sqref="K12:K19">
    <cfRule type="cellIs" dxfId="49" priority="43" operator="lessThan">
      <formula>0</formula>
    </cfRule>
    <cfRule type="cellIs" dxfId="48" priority="44" operator="greaterThan">
      <formula>0</formula>
    </cfRule>
  </conditionalFormatting>
  <conditionalFormatting sqref="K22:K29">
    <cfRule type="cellIs" dxfId="47" priority="41" operator="lessThan">
      <formula>0</formula>
    </cfRule>
    <cfRule type="cellIs" dxfId="46" priority="42" operator="greaterThan">
      <formula>0</formula>
    </cfRule>
  </conditionalFormatting>
  <conditionalFormatting sqref="K32:K39">
    <cfRule type="cellIs" dxfId="45" priority="65" operator="lessThan">
      <formula>0</formula>
    </cfRule>
    <cfRule type="cellIs" dxfId="44" priority="66" operator="greaterThan">
      <formula>0</formula>
    </cfRule>
  </conditionalFormatting>
  <conditionalFormatting sqref="K42:K49">
    <cfRule type="cellIs" dxfId="43" priority="39" operator="lessThan">
      <formula>0</formula>
    </cfRule>
    <cfRule type="cellIs" dxfId="42" priority="40" operator="greaterThan">
      <formula>0</formula>
    </cfRule>
  </conditionalFormatting>
  <conditionalFormatting sqref="K52:K59">
    <cfRule type="cellIs" dxfId="41" priority="37" operator="lessThan">
      <formula>0</formula>
    </cfRule>
    <cfRule type="cellIs" dxfId="40" priority="38" operator="greaterThan">
      <formula>0</formula>
    </cfRule>
  </conditionalFormatting>
  <conditionalFormatting sqref="K62:K69">
    <cfRule type="cellIs" dxfId="39" priority="35" operator="lessThan">
      <formula>0</formula>
    </cfRule>
    <cfRule type="cellIs" dxfId="38" priority="36" operator="greaterThan">
      <formula>0</formula>
    </cfRule>
  </conditionalFormatting>
  <conditionalFormatting sqref="K72:K79">
    <cfRule type="cellIs" dxfId="37" priority="33" operator="lessThan">
      <formula>0</formula>
    </cfRule>
    <cfRule type="cellIs" dxfId="36" priority="34" operator="greaterThan">
      <formula>0</formula>
    </cfRule>
  </conditionalFormatting>
  <conditionalFormatting sqref="K82:K89">
    <cfRule type="cellIs" dxfId="35" priority="31" operator="lessThan">
      <formula>0</formula>
    </cfRule>
    <cfRule type="cellIs" dxfId="34" priority="32" operator="greaterThan">
      <formula>0</formula>
    </cfRule>
  </conditionalFormatting>
  <conditionalFormatting sqref="K92:K99">
    <cfRule type="cellIs" dxfId="33" priority="29" operator="lessThan">
      <formula>0</formula>
    </cfRule>
    <cfRule type="cellIs" dxfId="32" priority="30" operator="greaterThan">
      <formula>0</formula>
    </cfRule>
  </conditionalFormatting>
  <conditionalFormatting sqref="K102:K109">
    <cfRule type="cellIs" dxfId="31" priority="27" operator="lessThan">
      <formula>0</formula>
    </cfRule>
    <cfRule type="cellIs" dxfId="30" priority="28" operator="greaterThan">
      <formula>0</formula>
    </cfRule>
  </conditionalFormatting>
  <conditionalFormatting sqref="K112:K119">
    <cfRule type="cellIs" dxfId="29" priority="23" operator="lessThan">
      <formula>0</formula>
    </cfRule>
    <cfRule type="cellIs" dxfId="28" priority="24" operator="greaterThan">
      <formula>0</formula>
    </cfRule>
  </conditionalFormatting>
  <conditionalFormatting sqref="K122:K129">
    <cfRule type="cellIs" dxfId="27" priority="5" operator="lessThan">
      <formula>0</formula>
    </cfRule>
    <cfRule type="cellIs" dxfId="26" priority="6" operator="greaterThan">
      <formula>0</formula>
    </cfRule>
  </conditionalFormatting>
  <conditionalFormatting sqref="K132:K139">
    <cfRule type="cellIs" dxfId="25" priority="3" operator="lessThan">
      <formula>0</formula>
    </cfRule>
    <cfRule type="cellIs" dxfId="24" priority="4" operator="greaterThan">
      <formula>0</formula>
    </cfRule>
  </conditionalFormatting>
  <conditionalFormatting sqref="K142:K149">
    <cfRule type="cellIs" dxfId="23" priority="1" operator="lessThan">
      <formula>0</formula>
    </cfRule>
    <cfRule type="cellIs" dxfId="22" priority="2" operator="greater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55F0A-909B-4050-B0C4-FED01A1C5AA0}">
  <dimension ref="A1:Q50"/>
  <sheetViews>
    <sheetView topLeftCell="A35" workbookViewId="0">
      <selection activeCell="L51" sqref="L51"/>
    </sheetView>
  </sheetViews>
  <sheetFormatPr defaultRowHeight="15.75"/>
  <cols>
    <col min="6" max="6" width="11.125" bestFit="1" customWidth="1"/>
    <col min="7" max="7" width="11.25" bestFit="1" customWidth="1"/>
    <col min="9" max="10" width="11.25" bestFit="1" customWidth="1"/>
    <col min="11" max="11" width="11.875" bestFit="1" customWidth="1"/>
    <col min="12" max="12" width="9.625" bestFit="1" customWidth="1"/>
  </cols>
  <sheetData>
    <row r="1" spans="1:17" ht="60.75" thickBot="1">
      <c r="A1" s="184"/>
      <c r="B1" s="185"/>
      <c r="C1" s="184"/>
      <c r="D1" s="184"/>
      <c r="E1" s="184"/>
      <c r="F1" s="186" t="s">
        <v>153</v>
      </c>
      <c r="G1" s="187" t="s">
        <v>154</v>
      </c>
      <c r="H1" s="188" t="s">
        <v>155</v>
      </c>
      <c r="I1" s="188" t="s">
        <v>156</v>
      </c>
      <c r="J1" s="188" t="s">
        <v>160</v>
      </c>
      <c r="K1" s="189" t="s">
        <v>157</v>
      </c>
      <c r="L1" s="190" t="s">
        <v>158</v>
      </c>
    </row>
    <row r="2" spans="1:17">
      <c r="A2" s="192" t="s">
        <v>159</v>
      </c>
      <c r="B2" s="184" t="s">
        <v>39</v>
      </c>
      <c r="C2" s="193"/>
      <c r="D2" s="193"/>
      <c r="E2" s="193"/>
      <c r="F2" s="194">
        <v>45796</v>
      </c>
      <c r="G2" s="195">
        <v>305</v>
      </c>
      <c r="H2" s="196">
        <v>49.13</v>
      </c>
      <c r="I2" s="196">
        <v>14984.65</v>
      </c>
      <c r="J2" s="196">
        <v>14984.65</v>
      </c>
      <c r="K2" s="196"/>
      <c r="L2" s="197"/>
    </row>
    <row r="3" spans="1:17">
      <c r="A3" s="199" t="s">
        <v>150</v>
      </c>
      <c r="B3" s="184" t="s">
        <v>40</v>
      </c>
      <c r="C3" s="200"/>
      <c r="D3" s="200"/>
      <c r="E3" s="201"/>
      <c r="F3" s="202">
        <v>45804</v>
      </c>
      <c r="G3" s="191">
        <v>305</v>
      </c>
      <c r="H3" s="206">
        <v>49.28</v>
      </c>
      <c r="I3" s="203">
        <v>15030.4</v>
      </c>
      <c r="J3" s="203">
        <v>15030.4</v>
      </c>
      <c r="K3" s="203">
        <f t="shared" ref="K3:K9" si="0">J3-J2</f>
        <v>45.75</v>
      </c>
      <c r="L3" s="204">
        <f t="shared" ref="L3:L9" si="1">K3/J2</f>
        <v>3.0531243639324241E-3</v>
      </c>
      <c r="M3" t="s">
        <v>168</v>
      </c>
      <c r="N3">
        <v>15</v>
      </c>
      <c r="O3">
        <v>49.28</v>
      </c>
      <c r="P3">
        <v>739.2</v>
      </c>
      <c r="Q3">
        <v>739.2</v>
      </c>
    </row>
    <row r="4" spans="1:17">
      <c r="A4" s="199" t="s">
        <v>151</v>
      </c>
      <c r="B4" s="184" t="s">
        <v>44</v>
      </c>
      <c r="C4" s="200"/>
      <c r="D4" s="200"/>
      <c r="E4" s="201"/>
      <c r="F4" s="202">
        <v>45810</v>
      </c>
      <c r="G4">
        <v>320</v>
      </c>
      <c r="H4">
        <v>49.3</v>
      </c>
      <c r="I4">
        <v>15776</v>
      </c>
      <c r="J4">
        <v>15776</v>
      </c>
      <c r="K4" s="203">
        <f t="shared" si="0"/>
        <v>745.60000000000036</v>
      </c>
      <c r="L4" s="204">
        <f t="shared" si="1"/>
        <v>4.9606131573344717E-2</v>
      </c>
    </row>
    <row r="5" spans="1:17">
      <c r="A5" s="199" t="s">
        <v>152</v>
      </c>
      <c r="B5" s="184" t="s">
        <v>11</v>
      </c>
      <c r="C5" s="200"/>
      <c r="D5" s="200"/>
      <c r="E5" s="201"/>
      <c r="F5" s="275">
        <v>45817</v>
      </c>
      <c r="G5" s="279">
        <v>320</v>
      </c>
      <c r="H5" s="191">
        <v>49.28</v>
      </c>
      <c r="I5" s="184">
        <v>15769.6</v>
      </c>
      <c r="J5" s="184">
        <v>15769.6</v>
      </c>
      <c r="K5" s="203">
        <f t="shared" si="0"/>
        <v>-6.3999999999996362</v>
      </c>
      <c r="L5" s="204">
        <f t="shared" si="1"/>
        <v>-4.0567951318456113E-4</v>
      </c>
    </row>
    <row r="6" spans="1:17">
      <c r="A6" s="205"/>
      <c r="B6" s="191"/>
      <c r="C6" s="206"/>
      <c r="D6" s="203"/>
      <c r="E6" s="203"/>
      <c r="F6" s="290">
        <v>45824</v>
      </c>
      <c r="G6" s="184">
        <v>320</v>
      </c>
      <c r="H6" s="184">
        <v>49.29</v>
      </c>
      <c r="I6" s="184">
        <v>15772.8</v>
      </c>
      <c r="J6" s="184">
        <v>15772.8</v>
      </c>
      <c r="K6" s="203">
        <f t="shared" si="0"/>
        <v>3.1999999999989086</v>
      </c>
      <c r="L6" s="204">
        <f t="shared" si="1"/>
        <v>2.0292207792200871E-4</v>
      </c>
    </row>
    <row r="7" spans="1:17">
      <c r="A7" s="207"/>
      <c r="B7" s="184"/>
      <c r="C7" s="184"/>
      <c r="D7" s="184"/>
      <c r="E7" s="184"/>
      <c r="F7" s="290">
        <v>45831</v>
      </c>
      <c r="G7" s="184">
        <v>320</v>
      </c>
      <c r="H7" s="184">
        <v>49.46</v>
      </c>
      <c r="I7" s="184">
        <v>15827.2</v>
      </c>
      <c r="J7" s="184">
        <v>15827.2</v>
      </c>
      <c r="K7" s="203">
        <f t="shared" si="0"/>
        <v>54.400000000001455</v>
      </c>
      <c r="L7" s="204">
        <f t="shared" si="1"/>
        <v>3.4489754514101145E-3</v>
      </c>
    </row>
    <row r="8" spans="1:17">
      <c r="A8" s="207"/>
      <c r="B8" s="184"/>
      <c r="C8" s="184"/>
      <c r="D8" s="184"/>
      <c r="E8" s="184"/>
      <c r="F8" s="290">
        <v>45838</v>
      </c>
      <c r="G8" s="184">
        <v>320</v>
      </c>
      <c r="H8" s="184">
        <v>49.51</v>
      </c>
      <c r="I8" s="184">
        <v>15843.199999999999</v>
      </c>
      <c r="J8" s="184">
        <v>15843.199999999999</v>
      </c>
      <c r="K8" s="203">
        <f t="shared" si="0"/>
        <v>15.999999999998181</v>
      </c>
      <c r="L8" s="204">
        <f t="shared" si="1"/>
        <v>1.0109179134653117E-3</v>
      </c>
    </row>
    <row r="9" spans="1:17">
      <c r="A9" s="207"/>
      <c r="B9" s="184"/>
      <c r="C9" s="184"/>
      <c r="D9" s="184"/>
      <c r="E9" s="184"/>
      <c r="F9" s="290">
        <v>45842</v>
      </c>
      <c r="G9" s="184">
        <v>320</v>
      </c>
      <c r="H9" s="184">
        <v>49.37</v>
      </c>
      <c r="I9" s="184">
        <v>15798.4</v>
      </c>
      <c r="J9" s="184">
        <v>15798.4</v>
      </c>
      <c r="K9" s="203">
        <f t="shared" si="0"/>
        <v>-44.799999999999272</v>
      </c>
      <c r="L9" s="204">
        <f t="shared" si="1"/>
        <v>-2.8277115734194657E-3</v>
      </c>
    </row>
    <row r="10" spans="1:17" ht="16.5" thickBot="1">
      <c r="A10" s="208"/>
      <c r="B10" s="185"/>
      <c r="C10" s="185"/>
      <c r="D10" s="185"/>
      <c r="E10" s="185"/>
      <c r="F10" s="185"/>
      <c r="G10" s="185"/>
      <c r="H10" s="185"/>
      <c r="I10" s="185"/>
      <c r="J10" s="185" t="s">
        <v>149</v>
      </c>
      <c r="K10" s="209">
        <f>J9-J2-Q3</f>
        <v>74.549999999999955</v>
      </c>
      <c r="L10" s="210">
        <f>K10/J2</f>
        <v>4.9750911766374226E-3</v>
      </c>
    </row>
    <row r="11" spans="1:17" ht="16.5" thickBot="1">
      <c r="A11" s="184"/>
      <c r="B11" s="211"/>
      <c r="C11" s="184"/>
      <c r="D11" s="184"/>
      <c r="E11" s="184"/>
      <c r="F11" s="184"/>
      <c r="G11" s="184"/>
      <c r="H11" s="184"/>
      <c r="I11" s="184"/>
      <c r="J11" s="184"/>
      <c r="K11" s="184"/>
      <c r="L11" s="184"/>
      <c r="N11" s="299"/>
    </row>
    <row r="12" spans="1:17">
      <c r="A12" s="192" t="s">
        <v>159</v>
      </c>
      <c r="B12" s="184" t="s">
        <v>10</v>
      </c>
      <c r="C12" s="193"/>
      <c r="D12" s="193"/>
      <c r="E12" s="193"/>
      <c r="F12" s="194">
        <v>45796</v>
      </c>
      <c r="G12" s="195">
        <v>33</v>
      </c>
      <c r="H12" s="196">
        <v>546.82000000000005</v>
      </c>
      <c r="I12" s="196">
        <v>18045.060000000001</v>
      </c>
      <c r="J12" s="196">
        <v>18045.060000000001</v>
      </c>
      <c r="K12" s="196"/>
      <c r="L12" s="197"/>
      <c r="N12" s="299"/>
    </row>
    <row r="13" spans="1:17">
      <c r="A13" s="199" t="s">
        <v>150</v>
      </c>
      <c r="B13" s="184" t="s">
        <v>12</v>
      </c>
      <c r="C13" s="200"/>
      <c r="D13" s="200"/>
      <c r="E13" s="201"/>
      <c r="F13" s="202">
        <v>45804</v>
      </c>
      <c r="G13" s="191">
        <v>33</v>
      </c>
      <c r="H13" s="206">
        <v>543.34</v>
      </c>
      <c r="I13" s="203">
        <v>17930.22</v>
      </c>
      <c r="J13" s="203">
        <v>17930.22</v>
      </c>
      <c r="K13" s="203">
        <f>J13-J12</f>
        <v>-114.84000000000015</v>
      </c>
      <c r="L13" s="204">
        <f>K13/J12</f>
        <v>-6.3640686149007064E-3</v>
      </c>
    </row>
    <row r="14" spans="1:17">
      <c r="A14" s="199" t="s">
        <v>151</v>
      </c>
      <c r="B14" s="184" t="s">
        <v>65</v>
      </c>
      <c r="C14" s="200"/>
      <c r="D14" s="200"/>
      <c r="E14" s="201"/>
      <c r="F14" s="202">
        <v>45810</v>
      </c>
      <c r="G14">
        <v>33</v>
      </c>
      <c r="H14">
        <v>544.91</v>
      </c>
      <c r="I14">
        <v>17982.03</v>
      </c>
      <c r="J14">
        <v>17982.03</v>
      </c>
      <c r="K14" s="203">
        <f>J14-J13</f>
        <v>51.809999999997672</v>
      </c>
      <c r="L14" s="204">
        <f>K14/J13</f>
        <v>2.8895350977287322E-3</v>
      </c>
    </row>
    <row r="15" spans="1:17">
      <c r="A15" s="199" t="s">
        <v>152</v>
      </c>
      <c r="B15" s="184" t="s">
        <v>11</v>
      </c>
      <c r="C15" s="200"/>
      <c r="D15" s="200"/>
      <c r="E15" s="201"/>
      <c r="F15" s="275">
        <v>45817</v>
      </c>
      <c r="G15" s="279">
        <v>33</v>
      </c>
      <c r="H15" s="279">
        <v>551.25</v>
      </c>
      <c r="I15" s="281">
        <v>18191.25</v>
      </c>
      <c r="J15" s="281">
        <v>18191.25</v>
      </c>
      <c r="K15" s="203">
        <f>J15-J14</f>
        <v>209.22000000000116</v>
      </c>
      <c r="L15" s="204">
        <f>K15/J14</f>
        <v>1.1634948890642557E-2</v>
      </c>
    </row>
    <row r="16" spans="1:17">
      <c r="A16" s="205"/>
      <c r="B16" s="191"/>
      <c r="C16" s="206"/>
      <c r="D16" s="203"/>
      <c r="E16" s="203"/>
      <c r="F16" s="290">
        <v>45824</v>
      </c>
      <c r="G16" s="184">
        <v>33</v>
      </c>
      <c r="H16" s="184">
        <v>554.07000000000005</v>
      </c>
      <c r="I16" s="184">
        <v>18284.310000000001</v>
      </c>
      <c r="J16" s="184">
        <v>18284.310000000001</v>
      </c>
      <c r="K16" s="203">
        <f>J16-J15</f>
        <v>93.06000000000131</v>
      </c>
      <c r="L16" s="204">
        <f>K16/J15</f>
        <v>5.1156462585034736E-3</v>
      </c>
    </row>
    <row r="17" spans="1:17">
      <c r="A17" s="207"/>
      <c r="B17" s="184"/>
      <c r="C17" s="184"/>
      <c r="D17" s="184"/>
      <c r="E17" s="184"/>
      <c r="F17" s="290">
        <v>45831</v>
      </c>
      <c r="G17" s="184">
        <v>33</v>
      </c>
      <c r="H17" s="184">
        <v>553.36</v>
      </c>
      <c r="I17" s="184">
        <v>18260.88</v>
      </c>
      <c r="J17" s="184">
        <v>18260.88</v>
      </c>
      <c r="K17" s="203">
        <f>J17-J16</f>
        <v>-23.430000000000291</v>
      </c>
      <c r="L17" s="204">
        <f>K17/J16</f>
        <v>-1.2814265345534115E-3</v>
      </c>
      <c r="M17" t="s">
        <v>168</v>
      </c>
      <c r="N17">
        <v>2</v>
      </c>
      <c r="O17">
        <v>553.36</v>
      </c>
      <c r="P17">
        <v>1106.72</v>
      </c>
      <c r="Q17">
        <v>1106.72</v>
      </c>
    </row>
    <row r="18" spans="1:17">
      <c r="A18" s="207"/>
      <c r="B18" s="184"/>
      <c r="C18" s="184"/>
      <c r="D18" s="184"/>
      <c r="E18" s="184"/>
      <c r="F18" s="290">
        <v>45838</v>
      </c>
      <c r="G18" s="184">
        <v>35</v>
      </c>
      <c r="H18" s="184">
        <v>568.03</v>
      </c>
      <c r="I18" s="184">
        <v>19881.05</v>
      </c>
      <c r="J18" s="184">
        <v>19881.05</v>
      </c>
      <c r="K18" s="203">
        <f>J18-J17-Q17</f>
        <v>513.44999999999823</v>
      </c>
      <c r="L18" s="204">
        <f>K18/(J17+Q17)</f>
        <v>2.6510770565273869E-2</v>
      </c>
    </row>
    <row r="19" spans="1:17">
      <c r="A19" s="207"/>
      <c r="B19" s="184"/>
      <c r="C19" s="184"/>
      <c r="D19" s="184"/>
      <c r="E19" s="184"/>
      <c r="F19" s="290">
        <v>45842</v>
      </c>
      <c r="G19" s="184">
        <v>35</v>
      </c>
      <c r="H19" s="184">
        <v>575.22</v>
      </c>
      <c r="I19" s="184">
        <v>20132.7</v>
      </c>
      <c r="J19" s="184">
        <v>20132.7</v>
      </c>
      <c r="K19" s="203">
        <f>J19-J18-Q18</f>
        <v>251.65000000000146</v>
      </c>
      <c r="L19" s="204">
        <f>K19/(J18+Q18)</f>
        <v>1.2657782159393064E-2</v>
      </c>
    </row>
    <row r="20" spans="1:17" ht="16.5" thickBot="1">
      <c r="A20" s="208"/>
      <c r="B20" s="185"/>
      <c r="C20" s="185"/>
      <c r="D20" s="185"/>
      <c r="E20" s="185"/>
      <c r="F20" s="185"/>
      <c r="G20" s="185"/>
      <c r="H20" s="185"/>
      <c r="I20" s="185"/>
      <c r="J20" s="185" t="s">
        <v>149</v>
      </c>
      <c r="K20" s="209">
        <f>(J19-Q17)-J12</f>
        <v>980.91999999999825</v>
      </c>
      <c r="L20" s="210">
        <f>K20/J12</f>
        <v>5.4359475668132894E-2</v>
      </c>
    </row>
    <row r="21" spans="1:17" ht="16.5" thickBot="1">
      <c r="A21" s="184"/>
      <c r="B21" s="211"/>
      <c r="C21" s="184"/>
      <c r="D21" s="184"/>
      <c r="E21" s="184"/>
      <c r="F21" s="184"/>
      <c r="G21" s="184"/>
      <c r="H21" s="184"/>
      <c r="I21" s="184"/>
      <c r="J21" s="184"/>
      <c r="K21" s="184"/>
      <c r="L21" s="184"/>
    </row>
    <row r="22" spans="1:17">
      <c r="A22" s="192" t="s">
        <v>159</v>
      </c>
      <c r="B22" s="184" t="s">
        <v>26</v>
      </c>
      <c r="C22" s="193"/>
      <c r="D22" s="193"/>
      <c r="E22" s="193"/>
      <c r="F22" s="194">
        <v>45796</v>
      </c>
      <c r="G22" s="195">
        <v>11</v>
      </c>
      <c r="H22" s="196">
        <v>173.3</v>
      </c>
      <c r="I22" s="196">
        <v>1906.3000000000002</v>
      </c>
      <c r="J22" s="196">
        <v>1906.3000000000002</v>
      </c>
      <c r="K22" s="196"/>
      <c r="L22" s="197"/>
    </row>
    <row r="23" spans="1:17">
      <c r="A23" s="199" t="s">
        <v>150</v>
      </c>
      <c r="B23" s="184" t="s">
        <v>27</v>
      </c>
      <c r="C23" s="200"/>
      <c r="D23" s="200"/>
      <c r="E23" s="201"/>
      <c r="F23" s="202">
        <v>45804</v>
      </c>
      <c r="G23" s="191">
        <v>11</v>
      </c>
      <c r="H23" s="206">
        <v>175.28</v>
      </c>
      <c r="I23" s="203">
        <v>1928.08</v>
      </c>
      <c r="J23" s="203">
        <v>1928.08</v>
      </c>
      <c r="K23" s="203">
        <f t="shared" ref="K23:K29" si="2">J23-J22</f>
        <v>21.779999999999745</v>
      </c>
      <c r="L23" s="204">
        <f t="shared" ref="L23:L29" si="3">K23/J22</f>
        <v>1.1425274091171245E-2</v>
      </c>
    </row>
    <row r="24" spans="1:17">
      <c r="A24" s="199" t="s">
        <v>151</v>
      </c>
      <c r="B24" s="184" t="s">
        <v>65</v>
      </c>
      <c r="C24" s="200"/>
      <c r="D24" s="200"/>
      <c r="E24" s="201"/>
      <c r="F24" s="202">
        <v>45810</v>
      </c>
      <c r="G24">
        <v>11</v>
      </c>
      <c r="H24">
        <v>178.24</v>
      </c>
      <c r="I24">
        <v>1960.64</v>
      </c>
      <c r="J24">
        <v>1960.64</v>
      </c>
      <c r="K24" s="203">
        <f t="shared" si="2"/>
        <v>32.560000000000173</v>
      </c>
      <c r="L24" s="204">
        <f t="shared" si="3"/>
        <v>1.6887266088544135E-2</v>
      </c>
    </row>
    <row r="25" spans="1:17">
      <c r="A25" s="199" t="s">
        <v>152</v>
      </c>
      <c r="B25" s="184" t="s">
        <v>11</v>
      </c>
      <c r="C25" s="200"/>
      <c r="D25" s="200"/>
      <c r="E25" s="201"/>
      <c r="F25" s="275">
        <v>45817</v>
      </c>
      <c r="G25" s="279">
        <v>11</v>
      </c>
      <c r="H25" s="279">
        <v>182.64</v>
      </c>
      <c r="I25" s="281">
        <v>2009.04</v>
      </c>
      <c r="J25" s="281">
        <v>2009.04</v>
      </c>
      <c r="K25" s="203">
        <f t="shared" si="2"/>
        <v>48.399999999999864</v>
      </c>
      <c r="L25" s="204">
        <f t="shared" si="3"/>
        <v>2.4685816876122011E-2</v>
      </c>
    </row>
    <row r="26" spans="1:17">
      <c r="A26" s="205"/>
      <c r="B26" s="191"/>
      <c r="C26" s="206"/>
      <c r="D26" s="203"/>
      <c r="E26" s="203"/>
      <c r="F26" s="290">
        <v>45824</v>
      </c>
      <c r="G26" s="184">
        <v>11</v>
      </c>
      <c r="H26" s="184">
        <v>179.16</v>
      </c>
      <c r="I26" s="184">
        <v>1970.76</v>
      </c>
      <c r="J26" s="184">
        <v>1970.76</v>
      </c>
      <c r="K26" s="203">
        <f t="shared" si="2"/>
        <v>-38.279999999999973</v>
      </c>
      <c r="L26" s="204">
        <f t="shared" si="3"/>
        <v>-1.905387647831799E-2</v>
      </c>
    </row>
    <row r="27" spans="1:17">
      <c r="A27" s="207"/>
      <c r="B27" s="184"/>
      <c r="C27" s="184"/>
      <c r="D27" s="184"/>
      <c r="E27" s="184"/>
      <c r="F27" s="290">
        <v>45831</v>
      </c>
      <c r="G27" s="184">
        <v>11</v>
      </c>
      <c r="H27" s="184">
        <v>183.01</v>
      </c>
      <c r="I27" s="184">
        <v>2013.11</v>
      </c>
      <c r="J27" s="184">
        <v>2013.11</v>
      </c>
      <c r="K27" s="203">
        <f t="shared" si="2"/>
        <v>42.349999999999909</v>
      </c>
      <c r="L27" s="204">
        <f t="shared" si="3"/>
        <v>2.1489171690109353E-2</v>
      </c>
    </row>
    <row r="28" spans="1:17">
      <c r="A28" s="207"/>
      <c r="B28" s="184"/>
      <c r="C28" s="184"/>
      <c r="D28" s="184"/>
      <c r="E28" s="184"/>
      <c r="F28" s="290">
        <v>45838</v>
      </c>
      <c r="G28" s="184">
        <v>11</v>
      </c>
      <c r="H28" s="184">
        <v>188.64</v>
      </c>
      <c r="I28" s="184">
        <v>2075.04</v>
      </c>
      <c r="J28" s="184">
        <v>2075.04</v>
      </c>
      <c r="K28" s="203">
        <f t="shared" si="2"/>
        <v>61.930000000000064</v>
      </c>
      <c r="L28" s="204">
        <f t="shared" si="3"/>
        <v>3.0763346265231441E-2</v>
      </c>
    </row>
    <row r="29" spans="1:17">
      <c r="A29" s="207"/>
      <c r="B29" s="184"/>
      <c r="C29" s="184"/>
      <c r="D29" s="184"/>
      <c r="E29" s="184"/>
      <c r="F29" s="290">
        <v>45842</v>
      </c>
      <c r="G29" s="184">
        <v>11</v>
      </c>
      <c r="H29" s="184">
        <v>186.86</v>
      </c>
      <c r="I29" s="184">
        <v>2055.46</v>
      </c>
      <c r="J29" s="184">
        <v>2055.46</v>
      </c>
      <c r="K29" s="203">
        <f t="shared" si="2"/>
        <v>-19.579999999999927</v>
      </c>
      <c r="L29" s="204">
        <f t="shared" si="3"/>
        <v>-9.435962680237454E-3</v>
      </c>
    </row>
    <row r="30" spans="1:17" ht="16.5" thickBot="1">
      <c r="A30" s="208"/>
      <c r="B30" s="185"/>
      <c r="C30" s="185"/>
      <c r="D30" s="185"/>
      <c r="E30" s="185"/>
      <c r="F30" s="185"/>
      <c r="G30" s="185"/>
      <c r="H30" s="185"/>
      <c r="I30" s="185"/>
      <c r="J30" s="185" t="s">
        <v>149</v>
      </c>
      <c r="K30" s="209">
        <f>J29-J22</f>
        <v>149.15999999999985</v>
      </c>
      <c r="L30" s="210">
        <f>K30/J22</f>
        <v>7.824581650317361E-2</v>
      </c>
    </row>
    <row r="31" spans="1:17" ht="16.5" thickBot="1">
      <c r="A31" s="184"/>
      <c r="B31" s="211"/>
      <c r="C31" s="184"/>
      <c r="D31" s="184"/>
      <c r="E31" s="184"/>
      <c r="F31" s="184"/>
      <c r="G31" s="184"/>
      <c r="H31" s="184"/>
      <c r="I31" s="184"/>
      <c r="J31" s="184"/>
      <c r="K31" s="184"/>
      <c r="L31" s="184"/>
    </row>
    <row r="32" spans="1:17">
      <c r="A32" s="192" t="s">
        <v>159</v>
      </c>
      <c r="B32" s="184" t="s">
        <v>66</v>
      </c>
      <c r="C32" s="193"/>
      <c r="D32" s="193"/>
      <c r="E32" s="193"/>
      <c r="F32" s="194">
        <v>45796</v>
      </c>
      <c r="G32" s="195">
        <v>120</v>
      </c>
      <c r="H32" s="196">
        <v>16.71</v>
      </c>
      <c r="I32" s="196">
        <v>2005.2</v>
      </c>
      <c r="J32" s="196">
        <v>2005.2</v>
      </c>
      <c r="K32" s="196"/>
      <c r="L32" s="197"/>
    </row>
    <row r="33" spans="1:12">
      <c r="A33" s="199" t="s">
        <v>150</v>
      </c>
      <c r="B33" s="184" t="s">
        <v>67</v>
      </c>
      <c r="C33" s="200"/>
      <c r="D33" s="200"/>
      <c r="E33" s="201"/>
      <c r="F33" s="202">
        <v>45804</v>
      </c>
      <c r="G33" s="191">
        <v>120</v>
      </c>
      <c r="H33" s="206">
        <v>17.29</v>
      </c>
      <c r="I33" s="203">
        <v>2074.7999999999997</v>
      </c>
      <c r="J33" s="203">
        <v>2074.7999999999997</v>
      </c>
      <c r="K33" s="203">
        <f t="shared" ref="K33:K39" si="4">J33-J32</f>
        <v>69.599999999999682</v>
      </c>
      <c r="L33" s="204">
        <f t="shared" ref="L33:L39" si="5">K33/J32</f>
        <v>3.4709754637941195E-2</v>
      </c>
    </row>
    <row r="34" spans="1:12">
      <c r="A34" s="199" t="s">
        <v>151</v>
      </c>
      <c r="B34" s="184" t="s">
        <v>65</v>
      </c>
      <c r="C34" s="200"/>
      <c r="D34" s="200"/>
      <c r="E34" s="201"/>
      <c r="F34" s="202">
        <v>45810</v>
      </c>
      <c r="G34">
        <v>120</v>
      </c>
      <c r="H34">
        <v>17.28</v>
      </c>
      <c r="I34">
        <v>2073.6000000000004</v>
      </c>
      <c r="J34">
        <v>2073.6000000000004</v>
      </c>
      <c r="K34" s="203">
        <f t="shared" si="4"/>
        <v>-1.1999999999993634</v>
      </c>
      <c r="L34" s="204">
        <f t="shared" si="5"/>
        <v>-5.7836899942132424E-4</v>
      </c>
    </row>
    <row r="35" spans="1:12">
      <c r="A35" s="199" t="s">
        <v>152</v>
      </c>
      <c r="B35" s="184" t="s">
        <v>11</v>
      </c>
      <c r="C35" s="200"/>
      <c r="D35" s="200"/>
      <c r="E35" s="201"/>
      <c r="F35" s="275">
        <v>45817</v>
      </c>
      <c r="G35" s="279">
        <v>120</v>
      </c>
      <c r="H35" s="279">
        <v>17.48</v>
      </c>
      <c r="I35" s="281">
        <v>2097.6</v>
      </c>
      <c r="J35" s="281">
        <v>2097.6</v>
      </c>
      <c r="K35" s="203">
        <f t="shared" si="4"/>
        <v>23.999999999999545</v>
      </c>
      <c r="L35" s="204">
        <f t="shared" si="5"/>
        <v>1.1574074074073853E-2</v>
      </c>
    </row>
    <row r="36" spans="1:12">
      <c r="A36" s="205"/>
      <c r="B36" s="191"/>
      <c r="C36" s="206"/>
      <c r="D36" s="203"/>
      <c r="E36" s="203"/>
      <c r="F36" s="290">
        <v>45824</v>
      </c>
      <c r="G36" s="184">
        <v>120</v>
      </c>
      <c r="H36" s="184">
        <v>17.760000000000002</v>
      </c>
      <c r="I36" s="184">
        <v>2131.2000000000003</v>
      </c>
      <c r="J36" s="184">
        <v>2131.2000000000003</v>
      </c>
      <c r="K36" s="203">
        <f t="shared" si="4"/>
        <v>33.600000000000364</v>
      </c>
      <c r="L36" s="204">
        <f t="shared" si="5"/>
        <v>1.601830663615578E-2</v>
      </c>
    </row>
    <row r="37" spans="1:12">
      <c r="A37" s="207"/>
      <c r="B37" s="184"/>
      <c r="C37" s="184"/>
      <c r="D37" s="184"/>
      <c r="E37" s="184"/>
      <c r="F37" s="290">
        <v>45831</v>
      </c>
      <c r="G37" s="184">
        <v>120</v>
      </c>
      <c r="H37" s="184">
        <v>17.7</v>
      </c>
      <c r="I37" s="184">
        <v>2124</v>
      </c>
      <c r="J37" s="184">
        <v>2124</v>
      </c>
      <c r="K37" s="203">
        <f t="shared" si="4"/>
        <v>-7.2000000000002728</v>
      </c>
      <c r="L37" s="204">
        <f t="shared" si="5"/>
        <v>-3.3783783783785061E-3</v>
      </c>
    </row>
    <row r="38" spans="1:12">
      <c r="A38" s="207"/>
      <c r="B38" s="184"/>
      <c r="C38" s="184"/>
      <c r="D38" s="184"/>
      <c r="E38" s="184"/>
      <c r="F38" s="290">
        <v>45838</v>
      </c>
      <c r="G38" s="184">
        <v>120</v>
      </c>
      <c r="H38" s="184">
        <v>18.18</v>
      </c>
      <c r="I38" s="184">
        <v>2181.6</v>
      </c>
      <c r="J38" s="184">
        <v>2181.6</v>
      </c>
      <c r="K38" s="203">
        <f t="shared" si="4"/>
        <v>57.599999999999909</v>
      </c>
      <c r="L38" s="204">
        <f t="shared" si="5"/>
        <v>2.7118644067796568E-2</v>
      </c>
    </row>
    <row r="39" spans="1:12">
      <c r="A39" s="207"/>
      <c r="B39" s="184"/>
      <c r="C39" s="184"/>
      <c r="D39" s="184"/>
      <c r="E39" s="184"/>
      <c r="F39" s="290">
        <v>45842</v>
      </c>
      <c r="G39" s="184">
        <v>120</v>
      </c>
      <c r="H39" s="184">
        <v>18</v>
      </c>
      <c r="I39" s="184">
        <v>2160</v>
      </c>
      <c r="J39" s="184">
        <v>2160</v>
      </c>
      <c r="K39" s="203">
        <f t="shared" si="4"/>
        <v>-21.599999999999909</v>
      </c>
      <c r="L39" s="204">
        <f t="shared" si="5"/>
        <v>-9.9009900990098595E-3</v>
      </c>
    </row>
    <row r="40" spans="1:12" ht="16.5" thickBot="1">
      <c r="A40" s="208"/>
      <c r="B40" s="185"/>
      <c r="C40" s="185"/>
      <c r="D40" s="185"/>
      <c r="E40" s="185"/>
      <c r="F40" s="185"/>
      <c r="G40" s="185"/>
      <c r="H40" s="185"/>
      <c r="I40" s="185"/>
      <c r="J40" s="185" t="s">
        <v>149</v>
      </c>
      <c r="K40" s="209">
        <f>J39-J32</f>
        <v>154.79999999999995</v>
      </c>
      <c r="L40" s="210">
        <f>K40/J32</f>
        <v>7.7199281867145392E-2</v>
      </c>
    </row>
    <row r="41" spans="1:12" ht="16.5" thickBot="1">
      <c r="A41" s="184"/>
      <c r="B41" s="211"/>
      <c r="C41" s="184"/>
      <c r="D41" s="184"/>
      <c r="E41" s="184"/>
      <c r="F41" s="184"/>
      <c r="G41" s="184"/>
      <c r="H41" s="184"/>
      <c r="I41" s="184"/>
      <c r="J41" s="184"/>
      <c r="K41" s="184"/>
      <c r="L41" s="184"/>
    </row>
    <row r="42" spans="1:12">
      <c r="A42" s="192" t="s">
        <v>159</v>
      </c>
      <c r="B42" s="184" t="s">
        <v>63</v>
      </c>
      <c r="C42" s="193"/>
      <c r="D42" s="193"/>
      <c r="E42" s="193"/>
      <c r="F42" s="194">
        <v>45796</v>
      </c>
      <c r="G42" s="195">
        <v>62</v>
      </c>
      <c r="H42" s="196">
        <v>47.93</v>
      </c>
      <c r="I42" s="196">
        <v>2971.66</v>
      </c>
      <c r="J42" s="196">
        <v>2971.66</v>
      </c>
      <c r="K42" s="196"/>
      <c r="L42" s="197"/>
    </row>
    <row r="43" spans="1:12">
      <c r="A43" s="199" t="s">
        <v>150</v>
      </c>
      <c r="B43" s="184" t="s">
        <v>64</v>
      </c>
      <c r="C43" s="200"/>
      <c r="D43" s="200"/>
      <c r="E43" s="201"/>
      <c r="F43" s="202">
        <v>45804</v>
      </c>
      <c r="G43" s="191">
        <v>62</v>
      </c>
      <c r="H43" s="206">
        <v>47.63</v>
      </c>
      <c r="I43" s="203">
        <v>2953.06</v>
      </c>
      <c r="J43" s="203">
        <v>2953.06</v>
      </c>
      <c r="K43" s="203">
        <f t="shared" ref="K43:K49" si="6">J43-J42</f>
        <v>-18.599999999999909</v>
      </c>
      <c r="L43" s="204">
        <f t="shared" ref="L43:L49" si="7">K43/J42</f>
        <v>-6.259127894846621E-3</v>
      </c>
    </row>
    <row r="44" spans="1:12">
      <c r="A44" s="199" t="s">
        <v>151</v>
      </c>
      <c r="B44" s="184" t="s">
        <v>65</v>
      </c>
      <c r="C44" s="200"/>
      <c r="D44" s="200"/>
      <c r="E44" s="201"/>
      <c r="F44" s="202">
        <v>45810</v>
      </c>
      <c r="G44">
        <v>62</v>
      </c>
      <c r="H44">
        <v>47.33</v>
      </c>
      <c r="I44">
        <v>2934.46</v>
      </c>
      <c r="J44">
        <v>2934.46</v>
      </c>
      <c r="K44" s="203">
        <f t="shared" si="6"/>
        <v>-18.599999999999909</v>
      </c>
      <c r="L44" s="204">
        <f t="shared" si="7"/>
        <v>-6.2985513331933352E-3</v>
      </c>
    </row>
    <row r="45" spans="1:12">
      <c r="A45" s="199" t="s">
        <v>152</v>
      </c>
      <c r="B45" s="184" t="s">
        <v>11</v>
      </c>
      <c r="C45" s="200"/>
      <c r="D45" s="200"/>
      <c r="E45" s="201"/>
      <c r="F45" s="275">
        <v>45817</v>
      </c>
      <c r="G45" s="279">
        <v>62</v>
      </c>
      <c r="H45" s="279">
        <v>48.59</v>
      </c>
      <c r="I45" s="281">
        <v>3012.5800000000004</v>
      </c>
      <c r="J45" s="281">
        <v>3012.5800000000004</v>
      </c>
      <c r="K45" s="203">
        <f t="shared" si="6"/>
        <v>78.120000000000346</v>
      </c>
      <c r="L45" s="204">
        <f t="shared" si="7"/>
        <v>2.662159306993462E-2</v>
      </c>
    </row>
    <row r="46" spans="1:12">
      <c r="A46" s="205"/>
      <c r="B46" s="191"/>
      <c r="C46" s="206"/>
      <c r="D46" s="203"/>
      <c r="E46" s="203"/>
      <c r="F46" s="290">
        <v>45824</v>
      </c>
      <c r="G46" s="184">
        <v>62</v>
      </c>
      <c r="H46" s="184">
        <v>48.83</v>
      </c>
      <c r="I46" s="184">
        <v>3027.46</v>
      </c>
      <c r="J46" s="184">
        <v>3027.46</v>
      </c>
      <c r="K46" s="203">
        <f t="shared" si="6"/>
        <v>14.879999999999654</v>
      </c>
      <c r="L46" s="204">
        <f t="shared" si="7"/>
        <v>4.9392879193248486E-3</v>
      </c>
    </row>
    <row r="47" spans="1:12">
      <c r="A47" s="207"/>
      <c r="B47" s="184"/>
      <c r="C47" s="184"/>
      <c r="D47" s="184"/>
      <c r="E47" s="184"/>
      <c r="F47" s="290">
        <v>45831</v>
      </c>
      <c r="G47" s="184">
        <v>62</v>
      </c>
      <c r="H47" s="184">
        <v>47.95</v>
      </c>
      <c r="I47" s="184">
        <v>2972.9</v>
      </c>
      <c r="J47" s="184">
        <v>2972.9</v>
      </c>
      <c r="K47" s="203">
        <f t="shared" si="6"/>
        <v>-54.559999999999945</v>
      </c>
      <c r="L47" s="204">
        <f t="shared" si="7"/>
        <v>-1.8021707966414072E-2</v>
      </c>
    </row>
    <row r="48" spans="1:12">
      <c r="A48" s="207"/>
      <c r="B48" s="184"/>
      <c r="C48" s="184"/>
      <c r="D48" s="184"/>
      <c r="E48" s="184"/>
      <c r="F48" s="290">
        <v>45838</v>
      </c>
      <c r="G48" s="184">
        <v>62</v>
      </c>
      <c r="H48" s="184">
        <v>49.46</v>
      </c>
      <c r="I48" s="184">
        <v>3066.52</v>
      </c>
      <c r="J48" s="184">
        <v>3066.52</v>
      </c>
      <c r="K48" s="203">
        <f t="shared" si="6"/>
        <v>93.619999999999891</v>
      </c>
      <c r="L48" s="204">
        <f t="shared" si="7"/>
        <v>3.1491136600625615E-2</v>
      </c>
    </row>
    <row r="49" spans="1:12">
      <c r="A49" s="207"/>
      <c r="B49" s="184"/>
      <c r="C49" s="184"/>
      <c r="D49" s="184"/>
      <c r="E49" s="184"/>
      <c r="F49" s="290">
        <v>45842</v>
      </c>
      <c r="G49" s="184">
        <v>62</v>
      </c>
      <c r="H49" s="184">
        <v>50.02</v>
      </c>
      <c r="I49" s="184">
        <v>3101.2400000000002</v>
      </c>
      <c r="J49" s="184">
        <v>3101.2400000000002</v>
      </c>
      <c r="K49" s="203">
        <f t="shared" si="6"/>
        <v>34.720000000000255</v>
      </c>
      <c r="L49" s="204">
        <f t="shared" si="7"/>
        <v>1.1322280630812861E-2</v>
      </c>
    </row>
    <row r="50" spans="1:12" ht="16.5" thickBot="1">
      <c r="A50" s="208"/>
      <c r="B50" s="185"/>
      <c r="C50" s="185"/>
      <c r="D50" s="185"/>
      <c r="E50" s="185"/>
      <c r="F50" s="185"/>
      <c r="G50" s="185"/>
      <c r="H50" s="185"/>
      <c r="I50" s="185"/>
      <c r="J50" s="185" t="s">
        <v>149</v>
      </c>
      <c r="K50" s="209">
        <f>J49-J42</f>
        <v>129.58000000000038</v>
      </c>
      <c r="L50" s="210">
        <f>K50/J42</f>
        <v>4.3605257667431799E-2</v>
      </c>
    </row>
  </sheetData>
  <conditionalFormatting sqref="K2:K9">
    <cfRule type="cellIs" dxfId="21" priority="9" operator="lessThan">
      <formula>0</formula>
    </cfRule>
    <cfRule type="cellIs" dxfId="20" priority="10" operator="greaterThan">
      <formula>0</formula>
    </cfRule>
  </conditionalFormatting>
  <conditionalFormatting sqref="K12:K19">
    <cfRule type="cellIs" dxfId="19" priority="7" operator="lessThan">
      <formula>0</formula>
    </cfRule>
    <cfRule type="cellIs" dxfId="18" priority="8" operator="greaterThan">
      <formula>0</formula>
    </cfRule>
  </conditionalFormatting>
  <conditionalFormatting sqref="K22:K29">
    <cfRule type="cellIs" dxfId="17" priority="5" operator="lessThan">
      <formula>0</formula>
    </cfRule>
    <cfRule type="cellIs" dxfId="16" priority="6" operator="greaterThan">
      <formula>0</formula>
    </cfRule>
  </conditionalFormatting>
  <conditionalFormatting sqref="K32:K39">
    <cfRule type="cellIs" dxfId="15" priority="3" operator="lessThan">
      <formula>0</formula>
    </cfRule>
    <cfRule type="cellIs" dxfId="14" priority="4" operator="greaterThan">
      <formula>0</formula>
    </cfRule>
  </conditionalFormatting>
  <conditionalFormatting sqref="K42:K49">
    <cfRule type="cellIs" dxfId="13" priority="1" operator="lessThan">
      <formula>0</formula>
    </cfRule>
    <cfRule type="cellIs" dxfId="12" priority="2" operator="greater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BF735-9FFD-4D3B-8ADC-632B1CB5F1CD}">
  <dimension ref="A1:Q60"/>
  <sheetViews>
    <sheetView topLeftCell="A11" workbookViewId="0">
      <selection activeCell="L30" sqref="L30"/>
    </sheetView>
  </sheetViews>
  <sheetFormatPr defaultRowHeight="15.75"/>
  <cols>
    <col min="6" max="6" width="11.125" bestFit="1" customWidth="1"/>
    <col min="7" max="7" width="9" style="286"/>
    <col min="8" max="8" width="12.375" bestFit="1" customWidth="1"/>
    <col min="9" max="9" width="10.125" bestFit="1" customWidth="1"/>
    <col min="10" max="10" width="11.25" bestFit="1" customWidth="1"/>
    <col min="11" max="11" width="11.875" bestFit="1" customWidth="1"/>
    <col min="12" max="12" width="9.625" bestFit="1" customWidth="1"/>
  </cols>
  <sheetData>
    <row r="1" spans="1:17" ht="60.75" thickBot="1">
      <c r="A1" s="184"/>
      <c r="B1" s="185"/>
      <c r="C1" s="184"/>
      <c r="D1" s="184"/>
      <c r="E1" s="184"/>
      <c r="F1" s="186" t="s">
        <v>153</v>
      </c>
      <c r="G1" s="214" t="s">
        <v>154</v>
      </c>
      <c r="H1" s="215" t="s">
        <v>155</v>
      </c>
      <c r="I1" s="215" t="s">
        <v>156</v>
      </c>
      <c r="J1" s="215" t="s">
        <v>160</v>
      </c>
      <c r="K1" s="216" t="s">
        <v>157</v>
      </c>
      <c r="L1" s="190" t="s">
        <v>158</v>
      </c>
    </row>
    <row r="2" spans="1:17">
      <c r="A2" s="192" t="s">
        <v>159</v>
      </c>
      <c r="B2" s="184" t="s">
        <v>33</v>
      </c>
      <c r="C2" s="193"/>
      <c r="D2" s="193"/>
      <c r="E2" s="193"/>
      <c r="F2" s="194">
        <v>45796</v>
      </c>
      <c r="G2" s="184">
        <v>72</v>
      </c>
      <c r="H2" s="184">
        <v>110.65</v>
      </c>
      <c r="I2" s="184">
        <v>7966.8</v>
      </c>
      <c r="J2" s="184">
        <v>7966.8</v>
      </c>
      <c r="K2" s="217"/>
      <c r="L2" s="197"/>
    </row>
    <row r="3" spans="1:17">
      <c r="A3" s="199" t="s">
        <v>150</v>
      </c>
      <c r="B3" s="184" t="s">
        <v>34</v>
      </c>
      <c r="C3" s="200"/>
      <c r="D3" s="200"/>
      <c r="E3" s="201"/>
      <c r="F3" s="202">
        <v>45804</v>
      </c>
      <c r="G3" s="184">
        <v>72</v>
      </c>
      <c r="H3" s="184">
        <v>106.62</v>
      </c>
      <c r="I3" s="184">
        <v>7676.64</v>
      </c>
      <c r="J3" s="184">
        <v>7676.64</v>
      </c>
      <c r="K3" s="203">
        <f>J3-J2</f>
        <v>-290.15999999999985</v>
      </c>
      <c r="L3" s="204">
        <f>K3/J2</f>
        <v>-3.6421147763217331E-2</v>
      </c>
    </row>
    <row r="4" spans="1:17">
      <c r="A4" s="199" t="s">
        <v>151</v>
      </c>
      <c r="B4" s="184" t="s">
        <v>74</v>
      </c>
      <c r="C4" s="200"/>
      <c r="D4" s="200"/>
      <c r="E4" s="201"/>
      <c r="F4" s="202">
        <v>45810</v>
      </c>
      <c r="G4" s="191">
        <v>72</v>
      </c>
      <c r="H4" s="203">
        <v>108.75</v>
      </c>
      <c r="I4" s="201">
        <v>7830</v>
      </c>
      <c r="J4" s="201">
        <v>7830</v>
      </c>
      <c r="K4" s="203">
        <f>J4-J3</f>
        <v>153.35999999999967</v>
      </c>
      <c r="L4" s="204">
        <f>K4/J3</f>
        <v>1.9977490151941432E-2</v>
      </c>
    </row>
    <row r="5" spans="1:17">
      <c r="A5" s="199" t="s">
        <v>152</v>
      </c>
      <c r="B5" s="184" t="s">
        <v>11</v>
      </c>
      <c r="C5" s="200"/>
      <c r="D5" s="200"/>
      <c r="E5" s="201"/>
      <c r="F5" s="275">
        <v>45817</v>
      </c>
      <c r="G5" s="279">
        <v>72</v>
      </c>
      <c r="H5" s="277">
        <v>108.93</v>
      </c>
      <c r="I5" s="276">
        <v>7842.9600000000009</v>
      </c>
      <c r="J5" s="276">
        <v>7842.9600000000009</v>
      </c>
      <c r="K5" s="203">
        <f>J5-J4</f>
        <v>12.960000000000946</v>
      </c>
      <c r="L5" s="204">
        <f>K5/J4</f>
        <v>1.6551724137932242E-3</v>
      </c>
    </row>
    <row r="6" spans="1:17">
      <c r="A6" s="205"/>
      <c r="B6" s="191"/>
      <c r="C6" s="206"/>
      <c r="D6" s="203"/>
      <c r="E6" s="203"/>
      <c r="F6" s="290">
        <v>45824</v>
      </c>
      <c r="G6" s="184">
        <v>72</v>
      </c>
      <c r="H6" s="184">
        <v>106.82</v>
      </c>
      <c r="I6" s="184">
        <v>7691.0399999999991</v>
      </c>
      <c r="J6" s="184">
        <v>7691.0399999999991</v>
      </c>
      <c r="K6" s="203">
        <f>J6-J5</f>
        <v>-151.92000000000189</v>
      </c>
      <c r="L6" s="204">
        <f>K6/J5</f>
        <v>-1.9370237767373781E-2</v>
      </c>
    </row>
    <row r="7" spans="1:17">
      <c r="A7" s="207"/>
      <c r="B7" s="184"/>
      <c r="C7" s="184"/>
      <c r="D7" s="184"/>
      <c r="E7" s="184"/>
      <c r="F7" s="290">
        <v>45831</v>
      </c>
      <c r="G7" s="184">
        <v>72</v>
      </c>
      <c r="H7" s="184">
        <v>107.13</v>
      </c>
      <c r="I7" s="184">
        <v>7713.36</v>
      </c>
      <c r="J7" s="184">
        <v>7713.36</v>
      </c>
      <c r="K7" s="203">
        <f>J7-J6</f>
        <v>22.320000000000618</v>
      </c>
      <c r="L7" s="204">
        <f>K7/J6</f>
        <v>2.9020782624977403E-3</v>
      </c>
      <c r="M7" t="s">
        <v>166</v>
      </c>
      <c r="N7">
        <v>42</v>
      </c>
      <c r="O7">
        <v>107.13</v>
      </c>
      <c r="P7">
        <v>4499.46</v>
      </c>
      <c r="Q7">
        <v>4499.46</v>
      </c>
    </row>
    <row r="8" spans="1:17">
      <c r="A8" s="207"/>
      <c r="B8" s="184"/>
      <c r="C8" s="184"/>
      <c r="D8" s="184"/>
      <c r="E8" s="184"/>
      <c r="F8" s="290">
        <v>45838</v>
      </c>
      <c r="G8" s="184">
        <v>30</v>
      </c>
      <c r="H8" s="184">
        <v>105.12</v>
      </c>
      <c r="I8" s="184">
        <v>3153.6000000000004</v>
      </c>
      <c r="J8" s="184">
        <v>3153.6000000000004</v>
      </c>
      <c r="K8" s="203">
        <f>J8-J7+Q7</f>
        <v>-60.299999999999272</v>
      </c>
      <c r="L8" s="204">
        <f>K8/(J7-Q7)</f>
        <v>-1.8762251470176197E-2</v>
      </c>
    </row>
    <row r="9" spans="1:17">
      <c r="A9" s="207"/>
      <c r="B9" s="184"/>
      <c r="C9" s="184"/>
      <c r="D9" s="184"/>
      <c r="E9" s="184"/>
      <c r="F9" s="290">
        <v>45842</v>
      </c>
      <c r="G9" s="184">
        <v>30</v>
      </c>
      <c r="H9" s="184">
        <v>108.02</v>
      </c>
      <c r="I9" s="184">
        <v>3240.6</v>
      </c>
      <c r="J9" s="184">
        <v>3240.6</v>
      </c>
      <c r="K9" s="203">
        <f>J9-J8+Q8</f>
        <v>86.999999999999545</v>
      </c>
      <c r="L9" s="204">
        <f>K9/(J8-Q8)</f>
        <v>2.7587519025875043E-2</v>
      </c>
    </row>
    <row r="10" spans="1:17" ht="16.5" thickBot="1">
      <c r="A10" s="208"/>
      <c r="B10" s="185"/>
      <c r="C10" s="185"/>
      <c r="D10" s="185"/>
      <c r="E10" s="185"/>
      <c r="F10" s="185"/>
      <c r="G10" s="185"/>
      <c r="H10" s="185"/>
      <c r="I10" s="185"/>
      <c r="J10" s="185" t="s">
        <v>149</v>
      </c>
      <c r="K10" s="209">
        <f>J9-J2+Q7</f>
        <v>-226.74000000000069</v>
      </c>
      <c r="L10" s="210">
        <f>K10/J2</f>
        <v>-2.8460611537882298E-2</v>
      </c>
    </row>
    <row r="11" spans="1:17" ht="16.5" thickBot="1">
      <c r="A11" s="184"/>
      <c r="B11" s="185"/>
      <c r="C11" s="184"/>
      <c r="D11" s="184"/>
      <c r="E11" s="184"/>
      <c r="F11" s="184"/>
      <c r="G11" s="211"/>
      <c r="H11" s="211"/>
      <c r="I11" s="211"/>
      <c r="J11" s="211"/>
      <c r="K11" s="211"/>
      <c r="L11" s="184"/>
    </row>
    <row r="12" spans="1:17">
      <c r="A12" s="192" t="s">
        <v>159</v>
      </c>
      <c r="B12" s="218" t="s">
        <v>35</v>
      </c>
      <c r="C12" s="193"/>
      <c r="D12" s="193"/>
      <c r="E12" s="193"/>
      <c r="F12" s="194">
        <v>45796</v>
      </c>
      <c r="G12" s="184">
        <v>62</v>
      </c>
      <c r="H12" s="184">
        <v>32.15</v>
      </c>
      <c r="I12" s="184">
        <v>1993.3</v>
      </c>
      <c r="J12" s="184">
        <v>1993.3</v>
      </c>
      <c r="K12" s="184"/>
      <c r="L12" s="197"/>
    </row>
    <row r="13" spans="1:17">
      <c r="A13" s="199" t="s">
        <v>150</v>
      </c>
      <c r="B13" s="184" t="s">
        <v>36</v>
      </c>
      <c r="C13" s="200"/>
      <c r="D13" s="200"/>
      <c r="E13" s="201"/>
      <c r="F13" s="202">
        <v>45804</v>
      </c>
      <c r="G13" s="191">
        <v>62</v>
      </c>
      <c r="H13" s="206">
        <v>31.75</v>
      </c>
      <c r="I13" s="203">
        <v>1968.5</v>
      </c>
      <c r="J13" s="203">
        <v>1968.5</v>
      </c>
      <c r="K13" s="203">
        <f t="shared" ref="K13:K19" si="0">J13-J12</f>
        <v>-24.799999999999955</v>
      </c>
      <c r="L13" s="204">
        <f t="shared" ref="L13:L19" si="1">K13/J12</f>
        <v>-1.2441679626749589E-2</v>
      </c>
    </row>
    <row r="14" spans="1:17">
      <c r="A14" s="199" t="s">
        <v>151</v>
      </c>
      <c r="B14" s="184" t="s">
        <v>74</v>
      </c>
      <c r="C14" s="200"/>
      <c r="D14" s="200"/>
      <c r="E14" s="201"/>
      <c r="F14" s="202">
        <v>45810</v>
      </c>
      <c r="G14">
        <v>62</v>
      </c>
      <c r="H14">
        <v>31.77</v>
      </c>
      <c r="I14">
        <v>1969.74</v>
      </c>
      <c r="J14">
        <v>1969.74</v>
      </c>
      <c r="K14" s="203">
        <f t="shared" si="0"/>
        <v>1.2400000000000091</v>
      </c>
      <c r="L14" s="204">
        <f t="shared" si="1"/>
        <v>6.2992125984252432E-4</v>
      </c>
    </row>
    <row r="15" spans="1:17">
      <c r="A15" s="199" t="s">
        <v>152</v>
      </c>
      <c r="B15" s="184" t="s">
        <v>11</v>
      </c>
      <c r="C15" s="200"/>
      <c r="D15" s="200"/>
      <c r="E15" s="201"/>
      <c r="F15" s="275">
        <v>45817</v>
      </c>
      <c r="G15" s="279">
        <v>62</v>
      </c>
      <c r="H15" s="277">
        <v>32.020000000000003</v>
      </c>
      <c r="I15" s="276">
        <v>1985.2400000000002</v>
      </c>
      <c r="J15" s="276">
        <v>1985.2400000000002</v>
      </c>
      <c r="K15" s="203">
        <f t="shared" si="0"/>
        <v>15.500000000000227</v>
      </c>
      <c r="L15" s="204">
        <f t="shared" si="1"/>
        <v>7.869058860560392E-3</v>
      </c>
    </row>
    <row r="16" spans="1:17">
      <c r="A16" s="205"/>
      <c r="B16" s="191"/>
      <c r="C16" s="206"/>
      <c r="D16" s="203"/>
      <c r="E16" s="203"/>
      <c r="F16" s="290">
        <v>45824</v>
      </c>
      <c r="G16" s="184">
        <v>62</v>
      </c>
      <c r="H16" s="184">
        <v>32.14</v>
      </c>
      <c r="I16" s="184">
        <v>1992.68</v>
      </c>
      <c r="J16" s="184">
        <v>1992.68</v>
      </c>
      <c r="K16" s="203">
        <f t="shared" si="0"/>
        <v>7.4399999999998272</v>
      </c>
      <c r="L16" s="204">
        <f t="shared" si="1"/>
        <v>3.7476577139287071E-3</v>
      </c>
    </row>
    <row r="17" spans="1:17">
      <c r="A17" s="207"/>
      <c r="B17" s="184"/>
      <c r="C17" s="184"/>
      <c r="D17" s="184"/>
      <c r="E17" s="184"/>
      <c r="F17" s="290">
        <v>45831</v>
      </c>
      <c r="G17" s="184">
        <v>62</v>
      </c>
      <c r="H17" s="184">
        <v>32.81</v>
      </c>
      <c r="I17" s="184">
        <v>2034.2200000000003</v>
      </c>
      <c r="J17" s="184">
        <v>2034.2200000000003</v>
      </c>
      <c r="K17" s="203">
        <f t="shared" si="0"/>
        <v>41.540000000000191</v>
      </c>
      <c r="L17" s="204">
        <f t="shared" si="1"/>
        <v>2.0846297448662197E-2</v>
      </c>
    </row>
    <row r="18" spans="1:17">
      <c r="A18" s="207"/>
      <c r="B18" s="184"/>
      <c r="C18" s="184"/>
      <c r="D18" s="184"/>
      <c r="E18" s="184"/>
      <c r="F18" s="290">
        <v>45838</v>
      </c>
      <c r="G18" s="184">
        <v>62</v>
      </c>
      <c r="H18" s="184">
        <v>32.6</v>
      </c>
      <c r="I18" s="184">
        <v>2021.2</v>
      </c>
      <c r="J18" s="184">
        <v>2021.2</v>
      </c>
      <c r="K18" s="203">
        <f t="shared" si="0"/>
        <v>-13.020000000000209</v>
      </c>
      <c r="L18" s="204">
        <f t="shared" si="1"/>
        <v>-6.4004876562024794E-3</v>
      </c>
    </row>
    <row r="19" spans="1:17">
      <c r="A19" s="207"/>
      <c r="B19" s="184"/>
      <c r="C19" s="184"/>
      <c r="D19" s="184"/>
      <c r="E19" s="184"/>
      <c r="F19" s="290">
        <v>45842</v>
      </c>
      <c r="G19" s="184">
        <v>62</v>
      </c>
      <c r="H19" s="184">
        <v>33.43</v>
      </c>
      <c r="I19" s="184">
        <v>2072.66</v>
      </c>
      <c r="J19" s="184">
        <v>2072.66</v>
      </c>
      <c r="K19" s="203">
        <f t="shared" si="0"/>
        <v>51.459999999999809</v>
      </c>
      <c r="L19" s="204">
        <f t="shared" si="1"/>
        <v>2.5460122699386408E-2</v>
      </c>
    </row>
    <row r="20" spans="1:17" ht="16.5" thickBot="1">
      <c r="A20" s="208"/>
      <c r="B20" s="185"/>
      <c r="C20" s="185"/>
      <c r="D20" s="185"/>
      <c r="E20" s="185"/>
      <c r="F20" s="185"/>
      <c r="G20" s="185"/>
      <c r="H20" s="185"/>
      <c r="I20" s="185"/>
      <c r="J20" s="185" t="s">
        <v>149</v>
      </c>
      <c r="K20" s="209">
        <f>J19-J12</f>
        <v>79.3599999999999</v>
      </c>
      <c r="L20" s="210">
        <f>K20/J12</f>
        <v>3.9813374805598704E-2</v>
      </c>
    </row>
    <row r="21" spans="1:17" ht="16.5" thickBot="1">
      <c r="A21" s="184"/>
      <c r="B21" s="185"/>
      <c r="C21" s="184"/>
      <c r="D21" s="184"/>
      <c r="E21" s="184"/>
      <c r="F21" s="184"/>
      <c r="G21" s="184"/>
      <c r="H21" s="184"/>
      <c r="I21" s="184"/>
      <c r="J21" s="184"/>
      <c r="K21" s="184"/>
      <c r="L21" s="184"/>
    </row>
    <row r="22" spans="1:17">
      <c r="A22" s="192" t="s">
        <v>159</v>
      </c>
      <c r="B22" s="184" t="s">
        <v>24</v>
      </c>
      <c r="C22" s="193"/>
      <c r="D22" s="193"/>
      <c r="E22" s="193"/>
      <c r="F22" s="194">
        <v>45796</v>
      </c>
      <c r="G22" s="195">
        <v>0.06</v>
      </c>
      <c r="H22" s="196">
        <v>105606.18</v>
      </c>
      <c r="I22" s="196">
        <v>6336.3707999999997</v>
      </c>
      <c r="J22" s="196">
        <v>6336.3707999999997</v>
      </c>
      <c r="K22" s="196"/>
      <c r="L22" s="197"/>
    </row>
    <row r="23" spans="1:17">
      <c r="A23" s="199" t="s">
        <v>150</v>
      </c>
      <c r="B23" s="184" t="s">
        <v>55</v>
      </c>
      <c r="C23" s="200"/>
      <c r="D23" s="200"/>
      <c r="E23" s="201"/>
      <c r="F23" s="202">
        <v>45804</v>
      </c>
      <c r="G23" s="191">
        <v>0.06</v>
      </c>
      <c r="H23" s="206">
        <v>108994.64</v>
      </c>
      <c r="I23" s="203">
        <v>6539.6783999999998</v>
      </c>
      <c r="J23" s="203">
        <v>6539.6783999999998</v>
      </c>
      <c r="K23" s="203">
        <f t="shared" ref="K23:K29" si="2">J23-J22</f>
        <v>203.30760000000009</v>
      </c>
      <c r="L23" s="204">
        <f t="shared" ref="L23:L29" si="3">K23/J22</f>
        <v>3.2085811644735202E-2</v>
      </c>
      <c r="M23" t="s">
        <v>166</v>
      </c>
      <c r="N23">
        <v>0.01</v>
      </c>
      <c r="O23">
        <v>108994.64</v>
      </c>
      <c r="P23">
        <v>1089.9464</v>
      </c>
      <c r="Q23">
        <v>1089.9464</v>
      </c>
    </row>
    <row r="24" spans="1:17">
      <c r="A24" s="199" t="s">
        <v>151</v>
      </c>
      <c r="B24" s="184" t="s">
        <v>25</v>
      </c>
      <c r="C24" s="200"/>
      <c r="D24" s="200"/>
      <c r="E24" s="201"/>
      <c r="F24" s="202">
        <v>45810</v>
      </c>
      <c r="G24" s="191">
        <v>0.05</v>
      </c>
      <c r="H24" s="203">
        <v>105881.53</v>
      </c>
      <c r="I24" s="201">
        <v>5294.0765000000001</v>
      </c>
      <c r="J24" s="201">
        <v>5294.0765000000001</v>
      </c>
      <c r="K24" s="203">
        <f t="shared" si="2"/>
        <v>-1245.6018999999997</v>
      </c>
      <c r="L24" s="204">
        <f t="shared" si="3"/>
        <v>-0.19046837226735794</v>
      </c>
      <c r="M24" t="s">
        <v>166</v>
      </c>
      <c r="N24">
        <v>0.01</v>
      </c>
      <c r="O24">
        <v>105881.53</v>
      </c>
      <c r="P24">
        <v>1058.8153</v>
      </c>
      <c r="Q24">
        <v>1058.8153</v>
      </c>
    </row>
    <row r="25" spans="1:17">
      <c r="A25" s="199" t="s">
        <v>152</v>
      </c>
      <c r="B25" s="184" t="s">
        <v>11</v>
      </c>
      <c r="C25" s="200"/>
      <c r="D25" s="200"/>
      <c r="E25" s="201"/>
      <c r="F25" s="275">
        <v>45817</v>
      </c>
      <c r="G25" s="277">
        <v>0.04</v>
      </c>
      <c r="H25" s="288">
        <v>110294.1</v>
      </c>
      <c r="I25" s="276">
        <v>4411.7640000000001</v>
      </c>
      <c r="J25" s="276">
        <v>4411.7640000000001</v>
      </c>
      <c r="K25" s="203">
        <f t="shared" si="2"/>
        <v>-882.3125</v>
      </c>
      <c r="L25" s="204">
        <f t="shared" si="3"/>
        <v>-0.16666032309884452</v>
      </c>
    </row>
    <row r="26" spans="1:17">
      <c r="A26" s="205"/>
      <c r="B26" s="191"/>
      <c r="C26" s="206"/>
      <c r="D26" s="203"/>
      <c r="E26" s="203"/>
      <c r="F26" s="290">
        <v>45824</v>
      </c>
      <c r="G26" s="276">
        <v>0.04</v>
      </c>
      <c r="H26" s="184">
        <v>106796.76</v>
      </c>
      <c r="I26" s="184">
        <v>4271.8703999999998</v>
      </c>
      <c r="J26" s="184">
        <v>4271.8703999999998</v>
      </c>
      <c r="K26" s="203">
        <f t="shared" si="2"/>
        <v>-139.89360000000033</v>
      </c>
      <c r="L26" s="204">
        <f t="shared" si="3"/>
        <v>-3.1709221073475444E-2</v>
      </c>
    </row>
    <row r="27" spans="1:17">
      <c r="A27" s="207"/>
      <c r="B27" s="184"/>
      <c r="C27" s="184"/>
      <c r="D27" s="184"/>
      <c r="E27" s="184"/>
      <c r="F27" s="290">
        <v>45831</v>
      </c>
      <c r="G27" s="276">
        <v>0.04</v>
      </c>
      <c r="H27" s="184">
        <v>105516.24</v>
      </c>
      <c r="I27" s="184">
        <v>4220.6496000000006</v>
      </c>
      <c r="J27" s="184">
        <v>4220.6496000000006</v>
      </c>
      <c r="K27" s="203">
        <f t="shared" si="2"/>
        <v>-51.220799999999144</v>
      </c>
      <c r="L27" s="204">
        <f t="shared" si="3"/>
        <v>-1.1990251389648699E-2</v>
      </c>
    </row>
    <row r="28" spans="1:17">
      <c r="A28" s="207"/>
      <c r="B28" s="184"/>
      <c r="C28" s="184"/>
      <c r="D28" s="184"/>
      <c r="E28" s="184"/>
      <c r="F28" s="290">
        <v>45838</v>
      </c>
      <c r="G28" s="276">
        <v>0.04</v>
      </c>
      <c r="H28" s="184">
        <v>108385.57</v>
      </c>
      <c r="I28" s="184">
        <v>4335.4228000000003</v>
      </c>
      <c r="J28" s="184">
        <v>4335.4228000000003</v>
      </c>
      <c r="K28" s="203">
        <f t="shared" si="2"/>
        <v>114.77319999999963</v>
      </c>
      <c r="L28" s="204">
        <f t="shared" si="3"/>
        <v>2.7193254801346128E-2</v>
      </c>
    </row>
    <row r="29" spans="1:17">
      <c r="A29" s="207"/>
      <c r="B29" s="184"/>
      <c r="C29" s="184"/>
      <c r="D29" s="184"/>
      <c r="E29" s="184"/>
      <c r="F29" s="290">
        <v>45842</v>
      </c>
      <c r="G29" s="276">
        <v>0.04</v>
      </c>
      <c r="H29" s="184">
        <v>108012.45</v>
      </c>
      <c r="I29" s="184">
        <v>4320.4979999999996</v>
      </c>
      <c r="J29" s="184">
        <v>4320.4979999999996</v>
      </c>
      <c r="K29" s="203">
        <f t="shared" si="2"/>
        <v>-14.924800000000687</v>
      </c>
      <c r="L29" s="204">
        <f t="shared" si="3"/>
        <v>-3.4425246829445761E-3</v>
      </c>
    </row>
    <row r="30" spans="1:17" ht="16.5" thickBot="1">
      <c r="A30" s="208"/>
      <c r="B30" s="185"/>
      <c r="C30" s="185"/>
      <c r="D30" s="185"/>
      <c r="E30" s="185"/>
      <c r="F30" s="185"/>
      <c r="G30" s="284"/>
      <c r="H30" s="185"/>
      <c r="I30" s="185"/>
      <c r="J30" s="185" t="s">
        <v>149</v>
      </c>
      <c r="K30" s="209">
        <f>(J29-J22)+Q23+Q24</f>
        <v>132.88889999999992</v>
      </c>
      <c r="L30" s="210">
        <f>K30/(J22-Q23-Q24)</f>
        <v>3.1733835901732073E-2</v>
      </c>
    </row>
    <row r="31" spans="1:17" ht="16.5" thickBot="1">
      <c r="A31" s="184"/>
      <c r="B31" s="185"/>
      <c r="C31" s="184"/>
      <c r="D31" s="184"/>
      <c r="E31" s="184"/>
      <c r="F31" s="184"/>
      <c r="G31" s="281"/>
      <c r="H31" s="184"/>
      <c r="I31" s="184"/>
      <c r="J31" s="211"/>
      <c r="K31" s="184"/>
      <c r="L31" s="184"/>
    </row>
    <row r="32" spans="1:17">
      <c r="A32" s="192" t="s">
        <v>159</v>
      </c>
      <c r="B32" s="184" t="s">
        <v>11</v>
      </c>
      <c r="C32" s="193"/>
      <c r="D32" s="193"/>
      <c r="E32" s="193"/>
      <c r="F32" s="194">
        <v>45796</v>
      </c>
      <c r="G32" s="283"/>
      <c r="H32" s="196"/>
      <c r="I32" s="196"/>
      <c r="J32" s="184">
        <v>10004.4</v>
      </c>
      <c r="K32" s="196"/>
      <c r="L32" s="197"/>
    </row>
    <row r="33" spans="1:12">
      <c r="A33" s="199" t="s">
        <v>150</v>
      </c>
      <c r="B33" s="184" t="s">
        <v>161</v>
      </c>
      <c r="C33" s="200"/>
      <c r="D33" s="200"/>
      <c r="E33" s="201"/>
      <c r="F33" s="202">
        <v>45804</v>
      </c>
      <c r="G33" s="279"/>
      <c r="H33" s="206"/>
      <c r="I33" s="203"/>
      <c r="J33" s="203">
        <v>10004.4</v>
      </c>
      <c r="K33" s="203">
        <f t="shared" ref="K33:K39" si="4">J33-J32</f>
        <v>0</v>
      </c>
      <c r="L33" s="204">
        <f t="shared" ref="L33:L39" si="5">K33/J32</f>
        <v>0</v>
      </c>
    </row>
    <row r="34" spans="1:12">
      <c r="A34" s="199" t="s">
        <v>151</v>
      </c>
      <c r="B34" s="184" t="s">
        <v>38</v>
      </c>
      <c r="C34" s="200"/>
      <c r="D34" s="200"/>
      <c r="E34" s="201"/>
      <c r="F34" s="202">
        <v>45810</v>
      </c>
      <c r="G34" s="279"/>
      <c r="H34" s="203"/>
      <c r="I34" s="201"/>
      <c r="J34" s="201">
        <v>10355.15</v>
      </c>
      <c r="K34" s="203">
        <f t="shared" si="4"/>
        <v>350.75</v>
      </c>
      <c r="L34" s="204">
        <f t="shared" si="5"/>
        <v>3.5059573787533486E-2</v>
      </c>
    </row>
    <row r="35" spans="1:12">
      <c r="A35" s="199" t="s">
        <v>152</v>
      </c>
      <c r="B35" s="184" t="s">
        <v>11</v>
      </c>
      <c r="C35" s="200"/>
      <c r="D35" s="200"/>
      <c r="E35" s="201"/>
      <c r="F35" s="275">
        <v>45817</v>
      </c>
      <c r="G35" s="279"/>
      <c r="H35" s="191"/>
      <c r="I35" s="184"/>
      <c r="J35" s="184">
        <v>3299.7987588849446</v>
      </c>
      <c r="K35" s="203">
        <f t="shared" si="4"/>
        <v>-7055.351241115055</v>
      </c>
      <c r="L35" s="204">
        <f t="shared" si="5"/>
        <v>-0.68133742544676368</v>
      </c>
    </row>
    <row r="36" spans="1:12">
      <c r="A36" s="205"/>
      <c r="B36" s="219"/>
      <c r="C36" s="206"/>
      <c r="D36" s="203"/>
      <c r="E36" s="203"/>
      <c r="F36" s="290">
        <v>45824</v>
      </c>
      <c r="G36" s="281"/>
      <c r="H36" s="184"/>
      <c r="I36" s="184"/>
      <c r="J36" s="184">
        <v>6835.7782934503066</v>
      </c>
      <c r="K36" s="203">
        <f t="shared" si="4"/>
        <v>3535.979534565362</v>
      </c>
      <c r="L36" s="204">
        <f t="shared" si="5"/>
        <v>1.0715742967793063</v>
      </c>
    </row>
    <row r="37" spans="1:12">
      <c r="A37" s="207"/>
      <c r="B37" s="191"/>
      <c r="C37" s="184"/>
      <c r="D37" s="184"/>
      <c r="E37" s="184"/>
      <c r="F37" s="290">
        <v>45831</v>
      </c>
      <c r="G37" s="281"/>
      <c r="H37" s="184"/>
      <c r="I37" s="184"/>
      <c r="J37" s="184">
        <v>6835.7782934503066</v>
      </c>
      <c r="K37" s="203">
        <f t="shared" si="4"/>
        <v>0</v>
      </c>
      <c r="L37" s="204">
        <f t="shared" si="5"/>
        <v>0</v>
      </c>
    </row>
    <row r="38" spans="1:12">
      <c r="A38" s="207"/>
      <c r="B38" s="184"/>
      <c r="C38" s="184"/>
      <c r="D38" s="184"/>
      <c r="E38" s="184"/>
      <c r="F38" s="290">
        <v>45838</v>
      </c>
      <c r="G38" s="281"/>
      <c r="H38" s="184"/>
      <c r="I38" s="184"/>
      <c r="J38" s="184">
        <v>3547.9612217315662</v>
      </c>
      <c r="K38" s="203">
        <f t="shared" si="4"/>
        <v>-3287.8170717187404</v>
      </c>
      <c r="L38" s="204">
        <f t="shared" si="5"/>
        <v>-0.4809718704407015</v>
      </c>
    </row>
    <row r="39" spans="1:12">
      <c r="A39" s="207"/>
      <c r="B39" s="184"/>
      <c r="C39" s="184"/>
      <c r="D39" s="184"/>
      <c r="E39" s="184"/>
      <c r="F39" s="290">
        <v>45842</v>
      </c>
      <c r="G39" s="281"/>
      <c r="H39" s="184"/>
      <c r="I39" s="184"/>
      <c r="J39" s="184">
        <v>3547.9612217315662</v>
      </c>
      <c r="K39" s="203">
        <f t="shared" si="4"/>
        <v>0</v>
      </c>
      <c r="L39" s="204">
        <f t="shared" si="5"/>
        <v>0</v>
      </c>
    </row>
    <row r="40" spans="1:12" ht="16.5" thickBot="1">
      <c r="A40" s="208"/>
      <c r="B40" s="220"/>
      <c r="C40" s="185"/>
      <c r="D40" s="185"/>
      <c r="E40" s="185"/>
      <c r="F40" s="185"/>
      <c r="G40" s="284"/>
      <c r="H40" s="185"/>
      <c r="I40" s="185"/>
      <c r="J40" s="185" t="s">
        <v>149</v>
      </c>
      <c r="K40" s="209">
        <f>J39-J32</f>
        <v>-6456.4387782684335</v>
      </c>
      <c r="L40" s="210">
        <f>K40/J32</f>
        <v>-0.64535991946228</v>
      </c>
    </row>
    <row r="41" spans="1:12" ht="16.5" thickBot="1">
      <c r="A41" s="184"/>
      <c r="B41" s="211"/>
      <c r="C41" s="184"/>
      <c r="D41" s="184"/>
      <c r="E41" s="184"/>
      <c r="F41" s="184"/>
      <c r="G41" s="281"/>
      <c r="H41" s="184" t="s">
        <v>43</v>
      </c>
      <c r="I41" s="184"/>
      <c r="J41" s="184"/>
      <c r="K41" s="184"/>
      <c r="L41" s="184"/>
    </row>
    <row r="42" spans="1:12">
      <c r="A42" s="192" t="s">
        <v>159</v>
      </c>
      <c r="B42" s="184" t="s">
        <v>37</v>
      </c>
      <c r="C42" s="193"/>
      <c r="D42" s="193"/>
      <c r="E42" s="193"/>
      <c r="F42" s="194">
        <v>45796</v>
      </c>
      <c r="G42" s="283"/>
      <c r="H42" s="221">
        <v>0.75</v>
      </c>
      <c r="I42" s="196">
        <v>1500</v>
      </c>
      <c r="J42" s="196">
        <v>2000</v>
      </c>
      <c r="K42" s="196"/>
      <c r="L42" s="197"/>
    </row>
    <row r="43" spans="1:12">
      <c r="A43" s="199" t="s">
        <v>150</v>
      </c>
      <c r="B43" s="184" t="s">
        <v>162</v>
      </c>
      <c r="C43" s="200"/>
      <c r="D43" s="200"/>
      <c r="E43" s="201"/>
      <c r="F43" s="202">
        <v>45804</v>
      </c>
      <c r="G43" s="279"/>
      <c r="H43" s="222">
        <v>0.73719999999999997</v>
      </c>
      <c r="I43" s="203">
        <v>1500</v>
      </c>
      <c r="J43" s="203">
        <v>2034.7259902333153</v>
      </c>
      <c r="K43" s="203">
        <f t="shared" ref="K43:K49" si="6">J43-J42</f>
        <v>34.725990233315315</v>
      </c>
      <c r="L43" s="204">
        <f t="shared" ref="L43:L49" si="7">K43/J42</f>
        <v>1.7362995116657658E-2</v>
      </c>
    </row>
    <row r="44" spans="1:12">
      <c r="A44" s="199" t="s">
        <v>151</v>
      </c>
      <c r="B44" s="184" t="s">
        <v>38</v>
      </c>
      <c r="C44" s="200"/>
      <c r="D44" s="200"/>
      <c r="E44" s="201"/>
      <c r="F44" s="202">
        <v>45810</v>
      </c>
      <c r="G44" s="279"/>
      <c r="H44" s="242">
        <v>0.74250000000000005</v>
      </c>
      <c r="I44" s="203">
        <v>1500</v>
      </c>
      <c r="J44" s="201">
        <v>2020.2020202020201</v>
      </c>
      <c r="K44" s="203">
        <f t="shared" si="6"/>
        <v>-14.523970031295221</v>
      </c>
      <c r="L44" s="204">
        <f t="shared" si="7"/>
        <v>-7.1380471380472245E-3</v>
      </c>
    </row>
    <row r="45" spans="1:12">
      <c r="A45" s="199" t="s">
        <v>152</v>
      </c>
      <c r="B45" s="219" t="s">
        <v>37</v>
      </c>
      <c r="C45" s="200"/>
      <c r="D45" s="200"/>
      <c r="E45" s="201"/>
      <c r="F45" s="275">
        <v>45817</v>
      </c>
      <c r="G45" s="279"/>
      <c r="H45" s="191">
        <v>0.73870000000000002</v>
      </c>
      <c r="I45" s="184">
        <v>1500</v>
      </c>
      <c r="J45" s="184">
        <v>2030.594287261405</v>
      </c>
      <c r="K45" s="203">
        <f t="shared" si="6"/>
        <v>10.392267059384949</v>
      </c>
      <c r="L45" s="204">
        <f t="shared" si="7"/>
        <v>5.1441721943955498E-3</v>
      </c>
    </row>
    <row r="46" spans="1:12">
      <c r="A46" s="205"/>
      <c r="B46" s="191"/>
      <c r="C46" s="206"/>
      <c r="D46" s="203"/>
      <c r="E46" s="203"/>
      <c r="F46" s="290">
        <v>45824</v>
      </c>
      <c r="G46" s="281"/>
      <c r="H46" s="184">
        <v>0.73760000000000003</v>
      </c>
      <c r="I46" s="184">
        <v>1500</v>
      </c>
      <c r="J46" s="184">
        <v>2033.6225596529284</v>
      </c>
      <c r="K46" s="203">
        <f t="shared" si="6"/>
        <v>3.0282723915233873</v>
      </c>
      <c r="L46" s="204">
        <f t="shared" si="7"/>
        <v>1.4913232104122175E-3</v>
      </c>
    </row>
    <row r="47" spans="1:12">
      <c r="A47" s="207"/>
      <c r="B47" s="184"/>
      <c r="C47" s="184"/>
      <c r="D47" s="184"/>
      <c r="E47" s="184"/>
      <c r="F47" s="290">
        <v>45831</v>
      </c>
      <c r="G47" s="281"/>
      <c r="H47" s="184">
        <v>0.74729999999999996</v>
      </c>
      <c r="I47" s="184">
        <v>1500</v>
      </c>
      <c r="J47" s="184">
        <v>2007.226013649137</v>
      </c>
      <c r="K47" s="203">
        <f t="shared" si="6"/>
        <v>-26.3965460037914</v>
      </c>
      <c r="L47" s="204">
        <f t="shared" si="7"/>
        <v>-1.2980061554931024E-2</v>
      </c>
    </row>
    <row r="48" spans="1:12">
      <c r="A48" s="207"/>
      <c r="B48" s="184"/>
      <c r="C48" s="184"/>
      <c r="D48" s="184"/>
      <c r="E48" s="184"/>
      <c r="F48" s="290">
        <v>45838</v>
      </c>
      <c r="G48" s="281"/>
      <c r="H48" s="184">
        <v>0.72889999999999999</v>
      </c>
      <c r="I48" s="184">
        <v>1500</v>
      </c>
      <c r="J48" s="184">
        <v>2057.8954589106875</v>
      </c>
      <c r="K48" s="203">
        <f t="shared" si="6"/>
        <v>50.669445261550436</v>
      </c>
      <c r="L48" s="204">
        <f t="shared" si="7"/>
        <v>2.5243517629304425E-2</v>
      </c>
    </row>
    <row r="49" spans="1:12">
      <c r="A49" s="207"/>
      <c r="B49" s="184"/>
      <c r="C49" s="184"/>
      <c r="D49" s="184"/>
      <c r="E49" s="184"/>
      <c r="F49" s="290">
        <v>45842</v>
      </c>
      <c r="G49" s="281"/>
      <c r="H49" s="184">
        <v>0.73270000000000002</v>
      </c>
      <c r="I49" s="184">
        <v>1500</v>
      </c>
      <c r="J49" s="184">
        <v>2047.2226013375187</v>
      </c>
      <c r="K49" s="203">
        <f t="shared" si="6"/>
        <v>-10.672857573168812</v>
      </c>
      <c r="L49" s="204">
        <f t="shared" si="7"/>
        <v>-5.1862972567218316E-3</v>
      </c>
    </row>
    <row r="50" spans="1:12" ht="16.5" thickBot="1">
      <c r="A50" s="208"/>
      <c r="B50" s="184"/>
      <c r="C50" s="185"/>
      <c r="D50" s="185"/>
      <c r="E50" s="185"/>
      <c r="F50" s="185"/>
      <c r="G50" s="284"/>
      <c r="H50" s="185"/>
      <c r="I50" s="185"/>
      <c r="J50" s="185" t="s">
        <v>149</v>
      </c>
      <c r="K50" s="209">
        <f>J49-J42</f>
        <v>47.222601337518654</v>
      </c>
      <c r="L50" s="210">
        <f>K50/J42</f>
        <v>2.3611300668759327E-2</v>
      </c>
    </row>
    <row r="51" spans="1:12" ht="16.5" thickBot="1">
      <c r="A51" s="184"/>
      <c r="B51" s="223"/>
      <c r="C51" s="184"/>
      <c r="D51" s="184"/>
      <c r="E51" s="184"/>
      <c r="F51" s="184"/>
      <c r="G51" s="281"/>
      <c r="H51" s="184" t="s">
        <v>42</v>
      </c>
      <c r="I51" s="184"/>
      <c r="J51" s="184"/>
      <c r="K51" s="184"/>
      <c r="L51" s="184"/>
    </row>
    <row r="52" spans="1:12">
      <c r="A52" s="192" t="s">
        <v>159</v>
      </c>
      <c r="B52" s="184" t="s">
        <v>28</v>
      </c>
      <c r="C52" s="193"/>
      <c r="D52" s="193"/>
      <c r="E52" s="193"/>
      <c r="F52" s="194">
        <v>45796</v>
      </c>
      <c r="G52" s="283"/>
      <c r="H52" s="221">
        <v>0.89270000000000005</v>
      </c>
      <c r="I52" s="196">
        <v>1800</v>
      </c>
      <c r="J52" s="196">
        <v>2016.3548784586087</v>
      </c>
      <c r="K52" s="196"/>
      <c r="L52" s="197"/>
    </row>
    <row r="53" spans="1:12">
      <c r="A53" s="199" t="s">
        <v>150</v>
      </c>
      <c r="B53" s="184" t="s">
        <v>163</v>
      </c>
      <c r="C53" s="200"/>
      <c r="D53" s="200"/>
      <c r="E53" s="201"/>
      <c r="F53" s="202">
        <v>45804</v>
      </c>
      <c r="G53" s="279"/>
      <c r="H53" s="222">
        <v>0.87809999999999999</v>
      </c>
      <c r="I53" s="203">
        <v>1800</v>
      </c>
      <c r="J53" s="203">
        <v>2049.8804236419542</v>
      </c>
      <c r="K53" s="203">
        <f t="shared" ref="K53:K59" si="8">J53-J52</f>
        <v>33.525545183345457</v>
      </c>
      <c r="L53" s="204">
        <f t="shared" ref="L53:L59" si="9">K53/J52</f>
        <v>1.6626807880651382E-2</v>
      </c>
    </row>
    <row r="54" spans="1:12">
      <c r="A54" s="199" t="s">
        <v>151</v>
      </c>
      <c r="B54" s="184" t="s">
        <v>38</v>
      </c>
      <c r="C54" s="200"/>
      <c r="D54" s="200"/>
      <c r="E54" s="201"/>
      <c r="F54" s="202">
        <v>45810</v>
      </c>
      <c r="G54" s="279"/>
      <c r="H54" s="242">
        <v>0.88080000000000003</v>
      </c>
      <c r="I54" s="201">
        <v>1800</v>
      </c>
      <c r="J54" s="201">
        <v>2043.5967302452316</v>
      </c>
      <c r="K54" s="203">
        <f t="shared" si="8"/>
        <v>-6.2836933967225832</v>
      </c>
      <c r="L54" s="204">
        <f t="shared" si="9"/>
        <v>-3.0653950953678337E-3</v>
      </c>
    </row>
    <row r="55" spans="1:12">
      <c r="A55" s="199" t="s">
        <v>152</v>
      </c>
      <c r="B55" s="191" t="s">
        <v>28</v>
      </c>
      <c r="C55" s="200"/>
      <c r="D55" s="200"/>
      <c r="E55" s="201"/>
      <c r="F55" s="275">
        <v>45817</v>
      </c>
      <c r="G55" s="279"/>
      <c r="H55" s="191">
        <v>0.87660000000000005</v>
      </c>
      <c r="I55" s="184">
        <v>1800</v>
      </c>
      <c r="J55" s="184">
        <v>2053.3880903490758</v>
      </c>
      <c r="K55" s="203">
        <f t="shared" si="8"/>
        <v>9.7913601038442266</v>
      </c>
      <c r="L55" s="204">
        <f t="shared" si="9"/>
        <v>4.7912388774811084E-3</v>
      </c>
    </row>
    <row r="56" spans="1:12">
      <c r="A56" s="205"/>
      <c r="B56" s="184"/>
      <c r="C56" s="206"/>
      <c r="D56" s="203"/>
      <c r="E56" s="203"/>
      <c r="F56" s="290">
        <v>45824</v>
      </c>
      <c r="G56" s="281"/>
      <c r="H56" s="184">
        <v>0.86529999999999996</v>
      </c>
      <c r="I56" s="184">
        <v>1800</v>
      </c>
      <c r="J56" s="184">
        <v>2080.2033976655498</v>
      </c>
      <c r="K56" s="203">
        <f t="shared" si="8"/>
        <v>26.815307316473991</v>
      </c>
      <c r="L56" s="204">
        <f t="shared" si="9"/>
        <v>1.3059054663122835E-2</v>
      </c>
    </row>
    <row r="57" spans="1:12">
      <c r="A57" s="207"/>
      <c r="B57" s="184"/>
      <c r="C57" s="184"/>
      <c r="D57" s="184"/>
      <c r="E57" s="184"/>
      <c r="F57" s="290">
        <v>45831</v>
      </c>
      <c r="G57" s="281"/>
      <c r="H57" s="184">
        <v>0.86950000000000005</v>
      </c>
      <c r="I57" s="184">
        <v>1800</v>
      </c>
      <c r="J57" s="203">
        <v>2070.1550000000002</v>
      </c>
      <c r="K57" s="203">
        <f t="shared" si="8"/>
        <v>-10.048397665549601</v>
      </c>
      <c r="L57" s="204">
        <f t="shared" si="9"/>
        <v>-4.8304880555555939E-3</v>
      </c>
    </row>
    <row r="58" spans="1:12">
      <c r="A58" s="207"/>
      <c r="B58" s="184"/>
      <c r="C58" s="184"/>
      <c r="D58" s="184"/>
      <c r="E58" s="184"/>
      <c r="F58" s="290">
        <v>45838</v>
      </c>
      <c r="G58" s="281"/>
      <c r="H58" s="184">
        <v>0.85270000000000001</v>
      </c>
      <c r="I58" s="184">
        <v>1800</v>
      </c>
      <c r="J58" s="201">
        <v>2110.9417145537705</v>
      </c>
      <c r="K58" s="296">
        <f t="shared" si="8"/>
        <v>40.786714553770253</v>
      </c>
      <c r="L58" s="204">
        <f t="shared" si="9"/>
        <v>1.9702251548203032E-2</v>
      </c>
    </row>
    <row r="59" spans="1:12">
      <c r="A59" s="207"/>
      <c r="B59" s="184"/>
      <c r="C59" s="184"/>
      <c r="D59" s="184"/>
      <c r="E59" s="184"/>
      <c r="F59" s="290">
        <v>45842</v>
      </c>
      <c r="G59" s="281"/>
      <c r="H59" s="184">
        <v>0.84899999999999998</v>
      </c>
      <c r="I59" s="184">
        <v>1800</v>
      </c>
      <c r="J59" s="201">
        <v>2120.1413427561838</v>
      </c>
      <c r="K59" s="296">
        <f t="shared" si="8"/>
        <v>9.1996282024133507</v>
      </c>
      <c r="L59" s="204">
        <f t="shared" si="9"/>
        <v>4.3580683156654795E-3</v>
      </c>
    </row>
    <row r="60" spans="1:12" ht="16.5" thickBot="1">
      <c r="A60" s="208"/>
      <c r="B60" s="185"/>
      <c r="C60" s="185"/>
      <c r="D60" s="185"/>
      <c r="E60" s="185"/>
      <c r="F60" s="185"/>
      <c r="G60" s="284"/>
      <c r="H60" s="185"/>
      <c r="I60" s="185"/>
      <c r="J60" s="185" t="s">
        <v>149</v>
      </c>
      <c r="K60" s="209">
        <f>J59-J52</f>
        <v>103.78646429757509</v>
      </c>
      <c r="L60" s="210">
        <f>K60/J52</f>
        <v>5.1472320376914051E-2</v>
      </c>
    </row>
  </sheetData>
  <conditionalFormatting sqref="K3:K9">
    <cfRule type="cellIs" dxfId="11" priority="13" operator="lessThan">
      <formula>0</formula>
    </cfRule>
    <cfRule type="cellIs" dxfId="10" priority="14" operator="greaterThan">
      <formula>0</formula>
    </cfRule>
  </conditionalFormatting>
  <conditionalFormatting sqref="K13:K19">
    <cfRule type="cellIs" dxfId="9" priority="11" operator="lessThan">
      <formula>0</formula>
    </cfRule>
    <cfRule type="cellIs" dxfId="8" priority="12" operator="greaterThan">
      <formula>0</formula>
    </cfRule>
  </conditionalFormatting>
  <conditionalFormatting sqref="K22:K29">
    <cfRule type="cellIs" dxfId="7" priority="9" operator="lessThan">
      <formula>0</formula>
    </cfRule>
    <cfRule type="cellIs" dxfId="6" priority="10" operator="greaterThan">
      <formula>0</formula>
    </cfRule>
  </conditionalFormatting>
  <conditionalFormatting sqref="K32:K39">
    <cfRule type="cellIs" dxfId="5" priority="7" operator="lessThan">
      <formula>0</formula>
    </cfRule>
    <cfRule type="cellIs" dxfId="4" priority="8" operator="greaterThan">
      <formula>0</formula>
    </cfRule>
  </conditionalFormatting>
  <conditionalFormatting sqref="K42:K49">
    <cfRule type="cellIs" dxfId="3" priority="5" operator="lessThan">
      <formula>0</formula>
    </cfRule>
    <cfRule type="cellIs" dxfId="2" priority="6" operator="greaterThan">
      <formula>0</formula>
    </cfRule>
  </conditionalFormatting>
  <conditionalFormatting sqref="K52:K59">
    <cfRule type="cellIs" dxfId="1" priority="1" operator="lessThan">
      <formula>0</formula>
    </cfRule>
    <cfRule type="cellIs" dxfId="0" priority="2" operator="greaterThan">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BE096-A97D-4D9D-81C3-81580A4BA2D6}">
  <dimension ref="A1:BY110"/>
  <sheetViews>
    <sheetView zoomScale="51" zoomScaleNormal="34" workbookViewId="0">
      <selection activeCell="P45" sqref="P45"/>
    </sheetView>
  </sheetViews>
  <sheetFormatPr defaultRowHeight="15"/>
  <cols>
    <col min="1" max="1" width="10.5" style="119" bestFit="1" customWidth="1"/>
    <col min="2" max="2" width="10.125" style="119" bestFit="1" customWidth="1"/>
    <col min="3" max="3" width="9.5" style="119" bestFit="1" customWidth="1"/>
    <col min="4" max="6" width="14" style="119" bestFit="1" customWidth="1"/>
    <col min="7" max="7" width="12.125" style="119" bestFit="1" customWidth="1"/>
    <col min="8" max="8" width="12.625" style="119" bestFit="1" customWidth="1"/>
    <col min="9" max="9" width="13.375" style="119" bestFit="1" customWidth="1"/>
    <col min="10" max="10" width="12.125" style="119" bestFit="1" customWidth="1"/>
    <col min="11" max="11" width="12.75" style="119" bestFit="1" customWidth="1"/>
    <col min="12" max="14" width="12.25" style="119" bestFit="1" customWidth="1"/>
    <col min="15" max="15" width="13.5" style="119" bestFit="1" customWidth="1"/>
    <col min="16" max="16" width="12.25" style="119" bestFit="1" customWidth="1"/>
    <col min="17" max="19" width="15.25" style="119" bestFit="1" customWidth="1"/>
    <col min="20" max="20" width="16.25" style="119" bestFit="1" customWidth="1"/>
    <col min="21" max="21" width="19.5" style="119" bestFit="1" customWidth="1"/>
    <col min="22" max="23" width="15.25" style="119" bestFit="1" customWidth="1"/>
    <col min="24" max="24" width="15.625" style="119" bestFit="1" customWidth="1"/>
    <col min="25" max="26" width="15.25" style="119" bestFit="1" customWidth="1"/>
    <col min="27" max="27" width="15.625" style="119" bestFit="1" customWidth="1"/>
    <col min="28" max="31" width="15.25" style="119" bestFit="1" customWidth="1"/>
    <col min="32" max="33" width="14.375" style="119" bestFit="1" customWidth="1"/>
    <col min="34" max="34" width="16" style="119" bestFit="1" customWidth="1"/>
    <col min="35" max="35" width="16.75" style="119" bestFit="1" customWidth="1"/>
    <col min="36" max="36" width="16" style="119" bestFit="1" customWidth="1"/>
    <col min="37" max="38" width="16.75" style="119" bestFit="1" customWidth="1"/>
    <col min="39" max="50" width="16" style="119" bestFit="1" customWidth="1"/>
    <col min="51" max="51" width="16.75" style="119" bestFit="1" customWidth="1"/>
    <col min="52" max="60" width="16" style="119" bestFit="1" customWidth="1"/>
    <col min="61" max="61" width="16.75" style="119" bestFit="1" customWidth="1"/>
    <col min="62" max="63" width="16" style="119" bestFit="1" customWidth="1"/>
    <col min="64" max="65" width="16.75" style="119" bestFit="1" customWidth="1"/>
    <col min="66" max="66" width="8.875" style="119" bestFit="1" customWidth="1"/>
    <col min="67" max="16384" width="9" style="119"/>
  </cols>
  <sheetData>
    <row r="1" spans="1:77" ht="15.75">
      <c r="A1" s="119" t="s">
        <v>16</v>
      </c>
      <c r="B1" s="119" t="s">
        <v>84</v>
      </c>
      <c r="D1" s="120" t="s">
        <v>11</v>
      </c>
      <c r="E1" s="121" t="s">
        <v>85</v>
      </c>
      <c r="F1" s="122" t="s">
        <v>37</v>
      </c>
      <c r="AN1" s="119" t="s">
        <v>86</v>
      </c>
      <c r="BU1" s="119" t="s">
        <v>87</v>
      </c>
      <c r="BW1" s="123">
        <v>4.2500000000000003E-2</v>
      </c>
      <c r="BX1" s="119" t="s">
        <v>88</v>
      </c>
      <c r="BY1" s="156"/>
    </row>
    <row r="2" spans="1:77" ht="15.75">
      <c r="B2" s="120" t="s">
        <v>63</v>
      </c>
      <c r="C2" s="120" t="s">
        <v>66</v>
      </c>
      <c r="D2" s="120" t="s">
        <v>10</v>
      </c>
      <c r="E2" s="120" t="s">
        <v>26</v>
      </c>
      <c r="F2" s="121" t="s">
        <v>29</v>
      </c>
      <c r="G2" s="120" t="s">
        <v>89</v>
      </c>
      <c r="H2" s="120" t="s">
        <v>90</v>
      </c>
      <c r="I2" s="120" t="s">
        <v>91</v>
      </c>
      <c r="J2" s="120" t="s">
        <v>92</v>
      </c>
      <c r="K2" s="122" t="s">
        <v>31</v>
      </c>
      <c r="L2" s="120" t="s">
        <v>93</v>
      </c>
      <c r="M2" s="121" t="s">
        <v>94</v>
      </c>
      <c r="N2" s="120" t="s">
        <v>46</v>
      </c>
      <c r="O2" s="120" t="s">
        <v>33</v>
      </c>
      <c r="P2" s="120" t="s">
        <v>24</v>
      </c>
      <c r="Q2" s="120" t="s">
        <v>95</v>
      </c>
      <c r="R2" s="120" t="s">
        <v>39</v>
      </c>
      <c r="S2" s="120" t="s">
        <v>35</v>
      </c>
      <c r="T2" s="120" t="s">
        <v>96</v>
      </c>
      <c r="U2" s="120" t="s">
        <v>48</v>
      </c>
      <c r="V2" s="120" t="s">
        <v>97</v>
      </c>
      <c r="W2" s="120" t="s">
        <v>51</v>
      </c>
      <c r="X2" s="120" t="s">
        <v>53</v>
      </c>
      <c r="Y2" s="120" t="s">
        <v>98</v>
      </c>
      <c r="Z2" s="120" t="s">
        <v>68</v>
      </c>
      <c r="AA2" s="120" t="s">
        <v>71</v>
      </c>
      <c r="AB2" s="120" t="s">
        <v>99</v>
      </c>
      <c r="AC2" s="120" t="s">
        <v>56</v>
      </c>
      <c r="AD2" s="120" t="s">
        <v>100</v>
      </c>
      <c r="AE2" s="120" t="s">
        <v>59</v>
      </c>
      <c r="AF2" s="120" t="s">
        <v>101</v>
      </c>
      <c r="AG2" s="120" t="s">
        <v>61</v>
      </c>
      <c r="AH2" s="120" t="s">
        <v>176</v>
      </c>
      <c r="AI2" s="120" t="s">
        <v>177</v>
      </c>
      <c r="AJ2" s="120" t="s">
        <v>178</v>
      </c>
      <c r="AK2" s="120" t="s">
        <v>179</v>
      </c>
      <c r="AL2" s="120" t="s">
        <v>180</v>
      </c>
      <c r="AM2" s="120" t="s">
        <v>181</v>
      </c>
      <c r="AN2" s="119" t="s">
        <v>63</v>
      </c>
      <c r="AO2" s="119" t="s">
        <v>66</v>
      </c>
      <c r="AP2" s="119" t="s">
        <v>10</v>
      </c>
      <c r="AQ2" s="119" t="s">
        <v>26</v>
      </c>
      <c r="AR2" s="119" t="s">
        <v>29</v>
      </c>
      <c r="AS2" s="119" t="s">
        <v>89</v>
      </c>
      <c r="AT2" s="119" t="s">
        <v>90</v>
      </c>
      <c r="AU2" s="119" t="s">
        <v>91</v>
      </c>
      <c r="AV2" s="119" t="s">
        <v>92</v>
      </c>
      <c r="AW2" s="119" t="s">
        <v>31</v>
      </c>
      <c r="AX2" s="119" t="s">
        <v>93</v>
      </c>
      <c r="AY2" s="119" t="s">
        <v>102</v>
      </c>
      <c r="AZ2" s="119" t="s">
        <v>46</v>
      </c>
      <c r="BA2" s="119" t="s">
        <v>33</v>
      </c>
      <c r="BB2" s="119" t="s">
        <v>24</v>
      </c>
      <c r="BC2" s="119" t="s">
        <v>95</v>
      </c>
      <c r="BD2" s="119" t="s">
        <v>39</v>
      </c>
      <c r="BE2" s="119" t="s">
        <v>35</v>
      </c>
      <c r="BF2" s="119" t="s">
        <v>96</v>
      </c>
      <c r="BG2" s="119" t="s">
        <v>48</v>
      </c>
      <c r="BH2" s="119" t="s">
        <v>97</v>
      </c>
      <c r="BI2" s="119" t="s">
        <v>51</v>
      </c>
      <c r="BJ2" s="119" t="s">
        <v>53</v>
      </c>
      <c r="BK2" s="119" t="s">
        <v>98</v>
      </c>
      <c r="BL2" s="119" t="s">
        <v>68</v>
      </c>
      <c r="BM2" s="119" t="s">
        <v>71</v>
      </c>
      <c r="BN2" s="119" t="s">
        <v>99</v>
      </c>
      <c r="BO2" s="119" t="s">
        <v>56</v>
      </c>
      <c r="BP2" s="119" t="s">
        <v>100</v>
      </c>
      <c r="BQ2" s="119" t="s">
        <v>59</v>
      </c>
      <c r="BR2" s="119" t="s">
        <v>101</v>
      </c>
      <c r="BS2" s="119" t="s">
        <v>61</v>
      </c>
      <c r="BT2" s="119" t="s">
        <v>176</v>
      </c>
      <c r="BU2" s="119" t="s">
        <v>177</v>
      </c>
      <c r="BV2" s="119" t="s">
        <v>178</v>
      </c>
      <c r="BW2" s="119" t="s">
        <v>179</v>
      </c>
      <c r="BX2" s="119" t="s">
        <v>180</v>
      </c>
      <c r="BY2" s="156" t="s">
        <v>181</v>
      </c>
    </row>
    <row r="3" spans="1:77" ht="15.75">
      <c r="A3" s="124">
        <v>45796</v>
      </c>
      <c r="B3" s="119">
        <v>47.93</v>
      </c>
      <c r="C3" s="119">
        <v>16.71</v>
      </c>
      <c r="D3" s="119">
        <v>546.82000000000005</v>
      </c>
      <c r="E3" s="119">
        <v>173.3</v>
      </c>
      <c r="F3" s="119">
        <v>1752.5</v>
      </c>
      <c r="G3" s="119">
        <v>135.57</v>
      </c>
      <c r="H3" s="119">
        <v>458.87</v>
      </c>
      <c r="I3" s="119">
        <v>152.49</v>
      </c>
      <c r="J3" s="119">
        <v>23</v>
      </c>
      <c r="K3" s="119">
        <v>819.2</v>
      </c>
      <c r="L3" s="119">
        <v>37.56</v>
      </c>
      <c r="M3" s="119">
        <v>161.9</v>
      </c>
      <c r="N3" s="119">
        <v>166.54</v>
      </c>
      <c r="O3" s="119">
        <v>110.65</v>
      </c>
      <c r="P3" s="125">
        <v>105606.18</v>
      </c>
      <c r="Q3" s="125">
        <v>413.42</v>
      </c>
      <c r="R3" s="125">
        <v>49.13</v>
      </c>
      <c r="S3" s="125">
        <v>32.15</v>
      </c>
      <c r="T3" s="125">
        <v>206.16</v>
      </c>
      <c r="U3" s="125">
        <v>342.09</v>
      </c>
      <c r="V3" s="125">
        <v>321.32</v>
      </c>
      <c r="W3" s="125">
        <v>84.61</v>
      </c>
      <c r="X3" s="125">
        <v>62.08</v>
      </c>
      <c r="Y3" s="125">
        <v>498.6</v>
      </c>
      <c r="Z3" s="125">
        <v>44.77</v>
      </c>
      <c r="AA3" s="125">
        <v>367.9</v>
      </c>
      <c r="AB3" s="125">
        <v>264.88</v>
      </c>
      <c r="AC3" s="125">
        <v>106.47</v>
      </c>
      <c r="AD3" s="125">
        <v>8.67</v>
      </c>
      <c r="AE3" s="125">
        <v>5.57</v>
      </c>
      <c r="AF3" s="125">
        <v>66.67</v>
      </c>
      <c r="AG3" s="125">
        <v>23.11</v>
      </c>
      <c r="AH3" s="125">
        <v>4652</v>
      </c>
      <c r="AI3" s="125">
        <v>6.94</v>
      </c>
      <c r="AJ3" s="125">
        <v>77.150000000000006</v>
      </c>
      <c r="AK3" s="125">
        <v>2132</v>
      </c>
      <c r="AL3" s="125">
        <v>4852</v>
      </c>
      <c r="AM3" s="125">
        <v>378.55</v>
      </c>
      <c r="AN3" s="126">
        <f t="shared" ref="AN3:BC18" si="0">(B3-B4)/B4</f>
        <v>4.263650206656517E-2</v>
      </c>
      <c r="AO3" s="126">
        <f t="shared" si="0"/>
        <v>0.202158273381295</v>
      </c>
      <c r="AP3" s="126">
        <f t="shared" si="0"/>
        <v>-2.9893377330707526E-2</v>
      </c>
      <c r="AQ3" s="126">
        <f t="shared" si="0"/>
        <v>0.12262745352076185</v>
      </c>
      <c r="AR3" s="126">
        <f t="shared" si="0"/>
        <v>0.87875214408233282</v>
      </c>
      <c r="AS3" s="126">
        <f t="shared" si="0"/>
        <v>-2.628743805214391E-2</v>
      </c>
      <c r="AT3" s="126">
        <f t="shared" si="0"/>
        <v>0.10632398678785838</v>
      </c>
      <c r="AU3" s="126">
        <f t="shared" si="0"/>
        <v>-3.4201026030780783E-2</v>
      </c>
      <c r="AV3" s="126">
        <f t="shared" si="0"/>
        <v>-0.11162611046736194</v>
      </c>
      <c r="AW3" s="126">
        <f t="shared" si="0"/>
        <v>0.27482103952692188</v>
      </c>
      <c r="AX3" s="126">
        <f t="shared" si="0"/>
        <v>-0.16216819094356449</v>
      </c>
      <c r="AY3" s="126">
        <f t="shared" si="0"/>
        <v>-4.1558134027942117E-2</v>
      </c>
      <c r="AZ3" s="126">
        <f t="shared" si="0"/>
        <v>-0.10109569817023813</v>
      </c>
      <c r="BA3" s="126">
        <f t="shared" si="0"/>
        <v>-9.027378113952142E-2</v>
      </c>
      <c r="BB3" s="126">
        <f t="shared" si="0"/>
        <v>9.2828823660346241E-2</v>
      </c>
      <c r="BC3" s="126">
        <f t="shared" si="0"/>
        <v>0.29732952584177991</v>
      </c>
      <c r="BD3" s="126">
        <f t="shared" ref="BD3:BS18" si="1">(R3-R4)/R4</f>
        <v>2.8577260665442043E-3</v>
      </c>
      <c r="BE3" s="126">
        <f t="shared" si="1"/>
        <v>5.4790026246719102E-2</v>
      </c>
      <c r="BF3" s="126">
        <f t="shared" si="1"/>
        <v>-9.0323434673255959E-2</v>
      </c>
      <c r="BG3" s="126">
        <f t="shared" si="1"/>
        <v>-5.1225870867539457E-2</v>
      </c>
      <c r="BH3" s="126">
        <f t="shared" si="1"/>
        <v>6.4184937404782386E-2</v>
      </c>
      <c r="BI3" s="126">
        <f t="shared" si="1"/>
        <v>-0.24784425282247308</v>
      </c>
      <c r="BJ3" s="126">
        <f t="shared" si="1"/>
        <v>-0.19145610836155252</v>
      </c>
      <c r="BK3" s="126">
        <f t="shared" si="1"/>
        <v>-0.27833260963960044</v>
      </c>
      <c r="BL3" s="126">
        <f t="shared" si="1"/>
        <v>-2.6950662899369593E-2</v>
      </c>
      <c r="BM3" s="126">
        <f t="shared" si="1"/>
        <v>3.5667032626748751E-2</v>
      </c>
      <c r="BN3" s="126">
        <f t="shared" si="1"/>
        <v>-5.1459265890778885E-2</v>
      </c>
      <c r="BO3" s="126">
        <f t="shared" si="1"/>
        <v>-3.4723481414324554E-2</v>
      </c>
      <c r="BP3" s="126">
        <f t="shared" si="1"/>
        <v>-0.42885375494071143</v>
      </c>
      <c r="BQ3" s="126">
        <f t="shared" si="1"/>
        <v>-0.20542082738944359</v>
      </c>
      <c r="BR3" s="126">
        <f t="shared" si="1"/>
        <v>-1.3757396449704034E-2</v>
      </c>
      <c r="BS3" s="126">
        <f t="shared" si="1"/>
        <v>1.7338534893801105E-3</v>
      </c>
      <c r="BT3" s="126">
        <f t="shared" ref="BT3:BY18" si="2">(AH3-AH4)/AH4</f>
        <v>5.7032492615314699E-2</v>
      </c>
      <c r="BU3" s="126">
        <f t="shared" si="2"/>
        <v>0.19655172413793115</v>
      </c>
      <c r="BV3" s="126">
        <f t="shared" si="2"/>
        <v>9.7439544807965989E-2</v>
      </c>
      <c r="BW3" s="126">
        <f t="shared" si="2"/>
        <v>8.753252898036433E-3</v>
      </c>
      <c r="BX3" s="126">
        <f t="shared" si="2"/>
        <v>-8.8997371385655277E-2</v>
      </c>
      <c r="BY3" s="126">
        <f t="shared" si="2"/>
        <v>0.13355292708489303</v>
      </c>
    </row>
    <row r="4" spans="1:77" ht="15.75">
      <c r="A4" s="124">
        <v>45707</v>
      </c>
      <c r="B4" s="119">
        <v>45.97</v>
      </c>
      <c r="C4" s="119">
        <v>13.9</v>
      </c>
      <c r="D4" s="119">
        <v>563.66999999999996</v>
      </c>
      <c r="E4" s="119">
        <v>154.37</v>
      </c>
      <c r="F4" s="119">
        <v>932.8</v>
      </c>
      <c r="G4" s="119">
        <v>139.22999999999999</v>
      </c>
      <c r="H4" s="119">
        <v>414.77</v>
      </c>
      <c r="I4" s="119">
        <v>157.88999999999999</v>
      </c>
      <c r="J4" s="119">
        <v>25.89</v>
      </c>
      <c r="K4" s="119">
        <v>642.6</v>
      </c>
      <c r="L4" s="119">
        <v>44.83</v>
      </c>
      <c r="M4" s="119">
        <v>168.92</v>
      </c>
      <c r="N4" s="119">
        <v>185.27</v>
      </c>
      <c r="O4" s="119">
        <v>121.63</v>
      </c>
      <c r="P4" s="119">
        <v>96635.61</v>
      </c>
      <c r="Q4" s="119">
        <v>318.67</v>
      </c>
      <c r="R4" s="119">
        <v>48.99</v>
      </c>
      <c r="S4" s="119">
        <v>30.48</v>
      </c>
      <c r="T4" s="119">
        <v>226.63</v>
      </c>
      <c r="U4" s="119">
        <v>360.56</v>
      </c>
      <c r="V4" s="119">
        <v>301.94</v>
      </c>
      <c r="W4" s="119">
        <v>112.49</v>
      </c>
      <c r="X4" s="119">
        <v>76.78</v>
      </c>
      <c r="Y4" s="119">
        <v>690.9</v>
      </c>
      <c r="Z4" s="119">
        <v>46.01</v>
      </c>
      <c r="AA4" s="119">
        <v>355.23</v>
      </c>
      <c r="AB4" s="119">
        <v>279.25</v>
      </c>
      <c r="AC4" s="119">
        <v>110.3</v>
      </c>
      <c r="AD4" s="119">
        <v>15.18</v>
      </c>
      <c r="AE4" s="119">
        <v>7.01</v>
      </c>
      <c r="AF4" s="119">
        <v>67.599999999999994</v>
      </c>
      <c r="AG4" s="119">
        <v>23.07</v>
      </c>
      <c r="AH4" s="119">
        <v>4401</v>
      </c>
      <c r="AI4" s="119">
        <v>5.8</v>
      </c>
      <c r="AJ4" s="119">
        <v>70.3</v>
      </c>
      <c r="AK4" s="119">
        <v>2113.5</v>
      </c>
      <c r="AL4" s="119">
        <v>5326</v>
      </c>
      <c r="AM4" s="119">
        <v>333.95</v>
      </c>
      <c r="AN4" s="126">
        <f t="shared" si="0"/>
        <v>8.777704630239162E-3</v>
      </c>
      <c r="AO4" s="126">
        <f t="shared" si="0"/>
        <v>0.13934426229508207</v>
      </c>
      <c r="AP4" s="126">
        <f t="shared" si="0"/>
        <v>3.8640132669983257E-2</v>
      </c>
      <c r="AQ4" s="126">
        <f t="shared" si="0"/>
        <v>2.245330507351977E-2</v>
      </c>
      <c r="AR4" s="126">
        <f t="shared" si="0"/>
        <v>0.54232804232804233</v>
      </c>
      <c r="AS4" s="126">
        <f t="shared" si="0"/>
        <v>-5.2921569961227141E-2</v>
      </c>
      <c r="AT4" s="126">
        <f t="shared" si="0"/>
        <v>-7.2285119318318738E-3</v>
      </c>
      <c r="AU4" s="126">
        <f t="shared" si="0"/>
        <v>3.1960784313725399E-2</v>
      </c>
      <c r="AV4" s="126">
        <f t="shared" si="0"/>
        <v>3.1474103585657331E-2</v>
      </c>
      <c r="AW4" s="126">
        <f t="shared" si="0"/>
        <v>0.21796815769522365</v>
      </c>
      <c r="AX4" s="126">
        <f t="shared" si="0"/>
        <v>1.1709443099273609</v>
      </c>
      <c r="AY4" s="126">
        <f t="shared" si="0"/>
        <v>0.23065714702025353</v>
      </c>
      <c r="AZ4" s="126">
        <f t="shared" si="0"/>
        <v>4.0141477655513166E-2</v>
      </c>
      <c r="BA4" s="126">
        <f t="shared" si="0"/>
        <v>5.6457917137149309E-2</v>
      </c>
      <c r="BB4" s="126">
        <f t="shared" si="0"/>
        <v>4.6476541627758695E-2</v>
      </c>
      <c r="BC4" s="126">
        <f t="shared" si="0"/>
        <v>-0.2598364844149208</v>
      </c>
      <c r="BD4" s="126">
        <f t="shared" si="1"/>
        <v>-1.902282739287136E-2</v>
      </c>
      <c r="BE4" s="126">
        <f t="shared" si="1"/>
        <v>-5.4003724394785797E-2</v>
      </c>
      <c r="BF4" s="126">
        <f t="shared" si="1"/>
        <v>0.10761937344215816</v>
      </c>
      <c r="BG4" s="126">
        <f t="shared" si="1"/>
        <v>4.2080924855491336E-2</v>
      </c>
      <c r="BH4" s="126">
        <f t="shared" si="1"/>
        <v>3.855811233790795E-2</v>
      </c>
      <c r="BI4" s="126">
        <f t="shared" si="1"/>
        <v>0.14377224199288258</v>
      </c>
      <c r="BJ4" s="126">
        <f t="shared" si="1"/>
        <v>3.8831010688675477E-2</v>
      </c>
      <c r="BK4" s="126">
        <f t="shared" si="1"/>
        <v>0.19677810497141873</v>
      </c>
      <c r="BL4" s="126">
        <f t="shared" si="1"/>
        <v>-8.6188321482438823E-3</v>
      </c>
      <c r="BM4" s="126">
        <f t="shared" si="1"/>
        <v>0.14619901910170366</v>
      </c>
      <c r="BN4" s="126">
        <f t="shared" si="1"/>
        <v>0.14875149121724462</v>
      </c>
      <c r="BO4" s="126">
        <f t="shared" si="1"/>
        <v>-7.0218325887212329E-2</v>
      </c>
      <c r="BP4" s="126">
        <f t="shared" si="1"/>
        <v>6.0055865921787667E-2</v>
      </c>
      <c r="BQ4" s="126">
        <f t="shared" si="1"/>
        <v>0.3532818532818533</v>
      </c>
      <c r="BR4" s="126">
        <f t="shared" si="1"/>
        <v>2.7199513751709346E-2</v>
      </c>
      <c r="BS4" s="126">
        <f t="shared" si="1"/>
        <v>-2.5348542458808677E-2</v>
      </c>
      <c r="BT4" s="126">
        <f t="shared" si="2"/>
        <v>-3.4233048057932848E-2</v>
      </c>
      <c r="BU4" s="126">
        <f t="shared" si="2"/>
        <v>0.27472527472527475</v>
      </c>
      <c r="BV4" s="126">
        <f t="shared" si="2"/>
        <v>0.18529758893947049</v>
      </c>
      <c r="BW4" s="126">
        <f t="shared" si="2"/>
        <v>-0.10577533319229955</v>
      </c>
      <c r="BX4" s="126">
        <f t="shared" si="2"/>
        <v>0.12126315789473684</v>
      </c>
      <c r="BY4" s="126">
        <f t="shared" si="2"/>
        <v>3.7272868457835069E-2</v>
      </c>
    </row>
    <row r="5" spans="1:77" ht="15.75">
      <c r="A5" s="124">
        <v>45615</v>
      </c>
      <c r="B5" s="119">
        <v>45.57</v>
      </c>
      <c r="C5" s="119">
        <v>12.2</v>
      </c>
      <c r="D5" s="119">
        <v>542.70000000000005</v>
      </c>
      <c r="E5" s="119">
        <v>150.97999999999999</v>
      </c>
      <c r="F5" s="119">
        <v>604.79999999999995</v>
      </c>
      <c r="G5" s="119">
        <v>147.01</v>
      </c>
      <c r="H5" s="119">
        <v>417.79</v>
      </c>
      <c r="I5" s="119">
        <v>153</v>
      </c>
      <c r="J5" s="119">
        <v>25.1</v>
      </c>
      <c r="K5" s="119">
        <v>527.6</v>
      </c>
      <c r="L5" s="119">
        <v>20.65</v>
      </c>
      <c r="M5" s="119">
        <v>137.26</v>
      </c>
      <c r="N5" s="119">
        <v>178.12</v>
      </c>
      <c r="O5" s="119">
        <v>115.13</v>
      </c>
      <c r="P5" s="119">
        <v>92343.79</v>
      </c>
      <c r="Q5" s="119">
        <v>430.54</v>
      </c>
      <c r="R5" s="119">
        <v>49.94</v>
      </c>
      <c r="S5" s="119">
        <v>32.22</v>
      </c>
      <c r="T5" s="119">
        <v>204.61</v>
      </c>
      <c r="U5" s="119">
        <v>346</v>
      </c>
      <c r="V5" s="119">
        <v>290.73</v>
      </c>
      <c r="W5" s="119">
        <v>98.35</v>
      </c>
      <c r="X5" s="119">
        <v>73.91</v>
      </c>
      <c r="Y5" s="119">
        <v>577.29999999999995</v>
      </c>
      <c r="Z5" s="119">
        <v>46.41</v>
      </c>
      <c r="AA5" s="119">
        <v>309.92</v>
      </c>
      <c r="AB5" s="119">
        <v>243.09</v>
      </c>
      <c r="AC5" s="119">
        <v>118.63</v>
      </c>
      <c r="AD5" s="119">
        <v>14.32</v>
      </c>
      <c r="AE5" s="119">
        <v>5.18</v>
      </c>
      <c r="AF5" s="119">
        <v>65.81</v>
      </c>
      <c r="AG5" s="119">
        <v>23.67</v>
      </c>
      <c r="AH5" s="119">
        <v>4557</v>
      </c>
      <c r="AI5" s="119">
        <v>4.55</v>
      </c>
      <c r="AJ5" s="119">
        <v>59.31</v>
      </c>
      <c r="AK5" s="119">
        <v>2363.5</v>
      </c>
      <c r="AL5" s="119">
        <v>4750</v>
      </c>
      <c r="AM5" s="119">
        <v>321.95</v>
      </c>
      <c r="AN5" s="126">
        <f t="shared" si="0"/>
        <v>8.4089400309803625E-3</v>
      </c>
      <c r="AO5" s="126">
        <f t="shared" si="0"/>
        <v>8.2519964507542121E-2</v>
      </c>
      <c r="AP5" s="126">
        <f t="shared" si="0"/>
        <v>5.5118110236220513E-2</v>
      </c>
      <c r="AQ5" s="126">
        <f t="shared" si="0"/>
        <v>4.4916603225136548E-2</v>
      </c>
      <c r="AR5" s="126">
        <f t="shared" si="0"/>
        <v>9.7242380261248013E-2</v>
      </c>
      <c r="AS5" s="126">
        <f t="shared" si="0"/>
        <v>0.13084615384615378</v>
      </c>
      <c r="AT5" s="126">
        <f t="shared" si="0"/>
        <v>-8.8724408701633395E-3</v>
      </c>
      <c r="AU5" s="126">
        <f t="shared" si="0"/>
        <v>-4.1533546325878565E-2</v>
      </c>
      <c r="AV5" s="126">
        <f t="shared" si="0"/>
        <v>-0.12847222222222218</v>
      </c>
      <c r="AW5" s="126">
        <f t="shared" si="0"/>
        <v>5.5200000000000048E-2</v>
      </c>
      <c r="AX5" s="126"/>
      <c r="AY5" s="126">
        <f t="shared" si="0"/>
        <v>-9.0961593993648514E-3</v>
      </c>
      <c r="AZ5" s="126">
        <f t="shared" si="0"/>
        <v>6.8698626027479559E-2</v>
      </c>
      <c r="BA5" s="126">
        <f t="shared" si="0"/>
        <v>-7.6744186046511689E-2</v>
      </c>
      <c r="BB5" s="126">
        <f t="shared" si="0"/>
        <v>0.55216733942980278</v>
      </c>
      <c r="BC5" s="126">
        <f t="shared" si="0"/>
        <v>2.1809383080901372</v>
      </c>
      <c r="BD5" s="126">
        <f t="shared" si="1"/>
        <v>2.4086712163789129E-3</v>
      </c>
      <c r="BE5" s="126">
        <f t="shared" si="1"/>
        <v>4.0511062636333882E-3</v>
      </c>
      <c r="BF5" s="126">
        <f t="shared" si="1"/>
        <v>0.14807541241162617</v>
      </c>
      <c r="BG5" s="126">
        <f t="shared" si="1"/>
        <v>0.55352011494252873</v>
      </c>
      <c r="BH5" s="126">
        <f t="shared" si="1"/>
        <v>1.10589462702139E-2</v>
      </c>
      <c r="BI5" s="126">
        <f t="shared" si="1"/>
        <v>6.5547128927410589E-2</v>
      </c>
      <c r="BJ5" s="126">
        <f t="shared" si="1"/>
        <v>-0.1125120076849184</v>
      </c>
      <c r="BK5" s="126">
        <f t="shared" si="1"/>
        <v>-0.14410674573758347</v>
      </c>
      <c r="BL5" s="126">
        <f t="shared" si="1"/>
        <v>0.16990168893370292</v>
      </c>
      <c r="BM5" s="126">
        <f t="shared" si="1"/>
        <v>0.16305775509438206</v>
      </c>
      <c r="BN5" s="126">
        <f t="shared" si="1"/>
        <v>0.12828962636342547</v>
      </c>
      <c r="BO5" s="126">
        <f t="shared" si="1"/>
        <v>8.4366826963633106E-4</v>
      </c>
      <c r="BP5" s="126">
        <f t="shared" si="1"/>
        <v>0.27857142857142869</v>
      </c>
      <c r="BQ5" s="126">
        <f t="shared" si="1"/>
        <v>0.19080459770114946</v>
      </c>
      <c r="BR5" s="126">
        <f t="shared" si="1"/>
        <v>-9.6884863455468664E-2</v>
      </c>
      <c r="BS5" s="126">
        <f t="shared" si="1"/>
        <v>-0.14363241678726479</v>
      </c>
      <c r="BT5" s="126">
        <f t="shared" si="2"/>
        <v>-3.7592397043294618E-2</v>
      </c>
      <c r="BU5" s="126">
        <f t="shared" si="2"/>
        <v>6.3084112149532606E-2</v>
      </c>
      <c r="BV5" s="126">
        <f t="shared" si="2"/>
        <v>-3.34093872229465E-2</v>
      </c>
      <c r="BW5" s="126">
        <f t="shared" si="2"/>
        <v>-4.7743755036261076E-2</v>
      </c>
      <c r="BX5" s="126">
        <f t="shared" si="2"/>
        <v>0.114238798967863</v>
      </c>
      <c r="BY5" s="126">
        <f t="shared" si="2"/>
        <v>-0.16528389940368163</v>
      </c>
    </row>
    <row r="6" spans="1:77" ht="15.75">
      <c r="A6" s="124">
        <v>45523</v>
      </c>
      <c r="B6" s="119">
        <v>45.19</v>
      </c>
      <c r="C6" s="119">
        <v>11.27</v>
      </c>
      <c r="D6" s="119">
        <v>514.35</v>
      </c>
      <c r="E6" s="119">
        <v>144.49</v>
      </c>
      <c r="F6" s="119">
        <v>551.20000000000005</v>
      </c>
      <c r="G6" s="119">
        <v>130</v>
      </c>
      <c r="H6" s="119">
        <v>421.53</v>
      </c>
      <c r="I6" s="119">
        <v>159.63</v>
      </c>
      <c r="J6" s="119">
        <v>28.8</v>
      </c>
      <c r="K6" s="119">
        <v>500</v>
      </c>
      <c r="M6" s="119">
        <v>138.52000000000001</v>
      </c>
      <c r="N6" s="119">
        <v>166.67</v>
      </c>
      <c r="O6" s="119">
        <v>124.7</v>
      </c>
      <c r="P6" s="119">
        <v>59493.45</v>
      </c>
      <c r="Q6" s="119">
        <v>135.35</v>
      </c>
      <c r="R6" s="119">
        <v>49.82</v>
      </c>
      <c r="S6" s="119">
        <v>32.090000000000003</v>
      </c>
      <c r="T6" s="119">
        <v>178.22</v>
      </c>
      <c r="U6" s="119">
        <v>222.72</v>
      </c>
      <c r="V6" s="119">
        <v>287.55</v>
      </c>
      <c r="W6" s="119">
        <v>92.3</v>
      </c>
      <c r="X6" s="119">
        <v>83.28</v>
      </c>
      <c r="Y6" s="119">
        <v>674.5</v>
      </c>
      <c r="Z6" s="119">
        <v>39.67</v>
      </c>
      <c r="AA6" s="119">
        <v>266.47000000000003</v>
      </c>
      <c r="AB6" s="119">
        <v>215.45</v>
      </c>
      <c r="AC6" s="119">
        <v>118.53</v>
      </c>
      <c r="AD6" s="119">
        <v>11.2</v>
      </c>
      <c r="AE6" s="119">
        <v>4.3499999999999996</v>
      </c>
      <c r="AF6" s="119">
        <v>72.87</v>
      </c>
      <c r="AG6" s="119">
        <v>27.64</v>
      </c>
      <c r="AH6" s="119">
        <v>4735</v>
      </c>
      <c r="AI6" s="119">
        <v>4.28</v>
      </c>
      <c r="AJ6" s="119">
        <v>61.36</v>
      </c>
      <c r="AK6" s="119">
        <v>2482</v>
      </c>
      <c r="AL6" s="119">
        <v>4263</v>
      </c>
      <c r="AM6" s="119">
        <v>385.7</v>
      </c>
      <c r="AN6" s="126">
        <f t="shared" si="0"/>
        <v>6.6830028959678585E-3</v>
      </c>
      <c r="AO6" s="126">
        <f t="shared" si="0"/>
        <v>5.8215962441314481E-2</v>
      </c>
      <c r="AP6" s="126">
        <f t="shared" si="0"/>
        <v>5.6832891573691723E-2</v>
      </c>
      <c r="AQ6" s="126">
        <f t="shared" si="0"/>
        <v>6.6346863468634748E-2</v>
      </c>
      <c r="AR6" s="126">
        <f t="shared" si="0"/>
        <v>7.6562500000000089E-2</v>
      </c>
      <c r="AS6" s="126">
        <f t="shared" si="0"/>
        <v>0.40570934256055358</v>
      </c>
      <c r="AT6" s="126">
        <f t="shared" si="0"/>
        <v>3.141286499607323E-3</v>
      </c>
      <c r="AU6" s="126">
        <f t="shared" si="0"/>
        <v>3.2268494568029035E-2</v>
      </c>
      <c r="AV6" s="126">
        <f t="shared" si="0"/>
        <v>5.5865921787709542E-3</v>
      </c>
      <c r="AW6" s="126">
        <f t="shared" si="0"/>
        <v>0.19588615163836395</v>
      </c>
      <c r="AX6" s="126"/>
      <c r="AY6" s="126">
        <f t="shared" si="0"/>
        <v>-0.12858580775037742</v>
      </c>
      <c r="AZ6" s="126">
        <f t="shared" si="0"/>
        <v>-5.3334090650914545E-2</v>
      </c>
      <c r="BA6" s="126">
        <f t="shared" si="0"/>
        <v>0.11838565022421527</v>
      </c>
      <c r="BB6" s="126">
        <f t="shared" si="0"/>
        <v>-0.10237004923325663</v>
      </c>
      <c r="BC6" s="126">
        <f t="shared" si="0"/>
        <v>-0.14578731461028713</v>
      </c>
      <c r="BD6" s="126">
        <f t="shared" si="1"/>
        <v>2.2368151036322666E-2</v>
      </c>
      <c r="BE6" s="126">
        <f t="shared" si="1"/>
        <v>5.6287030941408966E-2</v>
      </c>
      <c r="BF6" s="126">
        <f t="shared" si="1"/>
        <v>-3.5083919870059502E-2</v>
      </c>
      <c r="BG6" s="126">
        <f t="shared" si="1"/>
        <v>0.2550433900597317</v>
      </c>
      <c r="BH6" s="126">
        <f t="shared" si="1"/>
        <v>5.569425067919824E-2</v>
      </c>
      <c r="BI6" s="126">
        <f t="shared" si="1"/>
        <v>0.18561335902376369</v>
      </c>
      <c r="BJ6" s="126">
        <f t="shared" si="1"/>
        <v>-9.6550227815144343E-2</v>
      </c>
      <c r="BK6" s="126">
        <f t="shared" si="1"/>
        <v>-0.1387895812053116</v>
      </c>
      <c r="BL6" s="126">
        <f t="shared" si="1"/>
        <v>9.6716721812166607E-3</v>
      </c>
      <c r="BM6" s="126">
        <f t="shared" si="1"/>
        <v>-4.8661192431274522E-2</v>
      </c>
      <c r="BN6" s="126">
        <f t="shared" si="1"/>
        <v>5.2053322916158003E-2</v>
      </c>
      <c r="BO6" s="126">
        <f t="shared" si="1"/>
        <v>-9.2778335005015006E-3</v>
      </c>
      <c r="BP6" s="126">
        <f t="shared" si="1"/>
        <v>-6.8219633943427643E-2</v>
      </c>
      <c r="BQ6" s="126">
        <f t="shared" si="1"/>
        <v>7.9404466501240542E-2</v>
      </c>
      <c r="BR6" s="126">
        <f t="shared" si="1"/>
        <v>1.3209121245828738E-2</v>
      </c>
      <c r="BS6" s="126">
        <f t="shared" si="1"/>
        <v>-3.0515608558400593E-2</v>
      </c>
      <c r="BT6" s="126">
        <f t="shared" si="2"/>
        <v>9.7080630213160338E-2</v>
      </c>
      <c r="BU6" s="126">
        <f t="shared" si="2"/>
        <v>-0.11934156378600824</v>
      </c>
      <c r="BV6" s="126">
        <f t="shared" si="2"/>
        <v>-0.15143133729774585</v>
      </c>
      <c r="BW6" s="126">
        <f t="shared" si="2"/>
        <v>-0.11372969112658454</v>
      </c>
      <c r="BX6" s="126">
        <f t="shared" si="2"/>
        <v>-7.184846505551927E-2</v>
      </c>
      <c r="BY6" s="126">
        <f t="shared" si="2"/>
        <v>-0.13829311885612161</v>
      </c>
    </row>
    <row r="7" spans="1:77" ht="15.75">
      <c r="A7" s="124">
        <v>45431</v>
      </c>
      <c r="B7" s="119">
        <v>44.89</v>
      </c>
      <c r="C7" s="119">
        <v>10.65</v>
      </c>
      <c r="D7" s="119">
        <v>486.69</v>
      </c>
      <c r="E7" s="119">
        <v>135.5</v>
      </c>
      <c r="F7" s="119">
        <v>512</v>
      </c>
      <c r="G7" s="119">
        <v>92.48</v>
      </c>
      <c r="H7" s="119">
        <v>420.21</v>
      </c>
      <c r="I7" s="119">
        <v>154.63999999999999</v>
      </c>
      <c r="J7" s="119">
        <v>28.64</v>
      </c>
      <c r="K7" s="119">
        <v>418.1</v>
      </c>
      <c r="M7" s="119">
        <v>158.96</v>
      </c>
      <c r="N7" s="119">
        <v>176.06</v>
      </c>
      <c r="O7" s="119">
        <v>111.5</v>
      </c>
      <c r="P7" s="119">
        <v>66278.37</v>
      </c>
      <c r="Q7" s="119">
        <v>158.44999999999999</v>
      </c>
      <c r="R7" s="119">
        <v>48.73</v>
      </c>
      <c r="S7" s="119">
        <v>30.38</v>
      </c>
      <c r="T7" s="119">
        <v>184.7</v>
      </c>
      <c r="U7" s="119">
        <v>177.46</v>
      </c>
      <c r="V7" s="119">
        <v>272.38</v>
      </c>
      <c r="W7" s="119">
        <v>77.849999999999994</v>
      </c>
      <c r="X7" s="119">
        <v>92.18</v>
      </c>
      <c r="Y7" s="119">
        <v>783.2</v>
      </c>
      <c r="Z7" s="119">
        <v>39.29</v>
      </c>
      <c r="AA7" s="119">
        <v>280.10000000000002</v>
      </c>
      <c r="AB7" s="119">
        <v>204.79</v>
      </c>
      <c r="AC7" s="119">
        <v>119.64</v>
      </c>
      <c r="AD7" s="119">
        <v>12.02</v>
      </c>
      <c r="AE7" s="119">
        <v>4.03</v>
      </c>
      <c r="AF7" s="119">
        <v>71.92</v>
      </c>
      <c r="AG7" s="119">
        <v>28.51</v>
      </c>
      <c r="AH7" s="119">
        <v>4316</v>
      </c>
      <c r="AI7" s="119">
        <v>4.8600000000000003</v>
      </c>
      <c r="AJ7" s="119">
        <v>72.31</v>
      </c>
      <c r="AK7" s="119">
        <v>2800.5</v>
      </c>
      <c r="AL7" s="119">
        <v>4593</v>
      </c>
      <c r="AM7" s="119">
        <v>447.6</v>
      </c>
      <c r="AN7" s="126">
        <f t="shared" si="0"/>
        <v>9.2479922122170766E-2</v>
      </c>
      <c r="AO7" s="126">
        <f t="shared" si="0"/>
        <v>4.8228346456692932E-2</v>
      </c>
      <c r="AP7" s="126">
        <f t="shared" si="0"/>
        <v>6.025749950983602E-2</v>
      </c>
      <c r="AQ7" s="126">
        <f t="shared" si="0"/>
        <v>7.8478191658707411E-2</v>
      </c>
      <c r="AR7" s="126">
        <f t="shared" si="0"/>
        <v>0.26701311556545404</v>
      </c>
      <c r="AS7" s="126">
        <f t="shared" si="0"/>
        <v>0.27365376669880187</v>
      </c>
      <c r="AT7" s="126">
        <f t="shared" si="0"/>
        <v>3.9969311488392757E-2</v>
      </c>
      <c r="AU7" s="126">
        <f t="shared" si="0"/>
        <v>-1.2200574896199455E-2</v>
      </c>
      <c r="AV7" s="126">
        <f t="shared" si="0"/>
        <v>3.692976104272265E-2</v>
      </c>
      <c r="AW7" s="126">
        <f t="shared" si="0"/>
        <v>0.25104727707959318</v>
      </c>
      <c r="AX7" s="126"/>
      <c r="AY7" s="126">
        <f t="shared" si="0"/>
        <v>0.10159390159390157</v>
      </c>
      <c r="AZ7" s="126">
        <f t="shared" si="0"/>
        <v>0.25291773413037283</v>
      </c>
      <c r="BA7" s="126">
        <f t="shared" si="0"/>
        <v>-0.16410525526651165</v>
      </c>
      <c r="BB7" s="126">
        <f t="shared" si="0"/>
        <v>0.28002068014262105</v>
      </c>
      <c r="BC7" s="126">
        <f t="shared" si="0"/>
        <v>1.264865637507147</v>
      </c>
      <c r="BD7" s="126">
        <f t="shared" si="1"/>
        <v>1.2327922745016472E-3</v>
      </c>
      <c r="BE7" s="126">
        <f t="shared" si="1"/>
        <v>2.8784287165594238E-2</v>
      </c>
      <c r="BF7" s="126">
        <f t="shared" si="1"/>
        <v>8.9611232375671049E-2</v>
      </c>
      <c r="BG7" s="126">
        <f t="shared" si="1"/>
        <v>-0.11247811952988238</v>
      </c>
      <c r="BH7" s="126">
        <f t="shared" si="1"/>
        <v>-6.7255667420039675E-2</v>
      </c>
      <c r="BI7" s="126">
        <f t="shared" si="1"/>
        <v>-0.16487878137738687</v>
      </c>
      <c r="BJ7" s="126">
        <f t="shared" si="1"/>
        <v>-0.10945802337938361</v>
      </c>
      <c r="BK7" s="126">
        <f t="shared" si="1"/>
        <v>-4.7086020197104186E-2</v>
      </c>
      <c r="BL7" s="126">
        <f t="shared" si="1"/>
        <v>0.1525374009973598</v>
      </c>
      <c r="BM7" s="126">
        <f t="shared" si="1"/>
        <v>5.528431935669229E-3</v>
      </c>
      <c r="BN7" s="126">
        <f t="shared" si="1"/>
        <v>0.14388649946936263</v>
      </c>
      <c r="BO7" s="126">
        <f t="shared" si="1"/>
        <v>0.15337896461968567</v>
      </c>
      <c r="BP7" s="126">
        <f t="shared" si="1"/>
        <v>8.3859332732191136E-2</v>
      </c>
      <c r="BQ7" s="126">
        <f t="shared" si="1"/>
        <v>-9.6412556053811591E-2</v>
      </c>
      <c r="BR7" s="126">
        <f t="shared" si="1"/>
        <v>0.13135126632059149</v>
      </c>
      <c r="BS7" s="126">
        <f t="shared" si="1"/>
        <v>0.11979575805184606</v>
      </c>
      <c r="BT7" s="126">
        <f t="shared" si="2"/>
        <v>6.673257538309442E-2</v>
      </c>
      <c r="BU7" s="126">
        <f t="shared" si="2"/>
        <v>0.29946524064171126</v>
      </c>
      <c r="BV7" s="126">
        <f t="shared" si="2"/>
        <v>0.3202483111192258</v>
      </c>
      <c r="BW7" s="126">
        <f t="shared" si="2"/>
        <v>-4.7610950518619286E-2</v>
      </c>
      <c r="BX7" s="126">
        <f>(AL7-AL8)/AL8</f>
        <v>-0.20398613518197573</v>
      </c>
      <c r="BY7" s="126">
        <f t="shared" si="2"/>
        <v>1.4276002719238639E-2</v>
      </c>
    </row>
    <row r="8" spans="1:77" ht="15.75">
      <c r="A8" s="124">
        <v>45341</v>
      </c>
      <c r="B8" s="119">
        <v>41.09</v>
      </c>
      <c r="C8" s="119">
        <v>10.16</v>
      </c>
      <c r="D8" s="119">
        <v>459.03</v>
      </c>
      <c r="E8" s="119">
        <v>125.64</v>
      </c>
      <c r="F8" s="119">
        <v>404.1</v>
      </c>
      <c r="G8" s="119">
        <v>72.61</v>
      </c>
      <c r="H8" s="119">
        <v>404.06</v>
      </c>
      <c r="I8" s="119">
        <v>156.55000000000001</v>
      </c>
      <c r="J8" s="119">
        <v>27.62</v>
      </c>
      <c r="K8" s="119">
        <v>334.2</v>
      </c>
      <c r="M8" s="119">
        <v>144.30000000000001</v>
      </c>
      <c r="N8" s="119">
        <v>140.52000000000001</v>
      </c>
      <c r="O8" s="119">
        <v>133.38999999999999</v>
      </c>
      <c r="P8" s="119">
        <v>51779.14</v>
      </c>
      <c r="Q8" s="119">
        <v>69.959999999999994</v>
      </c>
      <c r="R8" s="119">
        <v>48.67</v>
      </c>
      <c r="S8" s="119">
        <v>29.53</v>
      </c>
      <c r="T8" s="119">
        <v>169.51</v>
      </c>
      <c r="U8" s="119">
        <v>199.95</v>
      </c>
      <c r="V8" s="119">
        <v>292.02</v>
      </c>
      <c r="W8" s="119">
        <v>93.22</v>
      </c>
      <c r="X8" s="119">
        <v>103.51</v>
      </c>
      <c r="Y8" s="119">
        <v>821.9</v>
      </c>
      <c r="Z8" s="119">
        <v>34.090000000000003</v>
      </c>
      <c r="AA8" s="119">
        <v>278.56</v>
      </c>
      <c r="AB8" s="119">
        <v>179.03</v>
      </c>
      <c r="AC8" s="119">
        <v>103.73</v>
      </c>
      <c r="AD8" s="119">
        <v>11.09</v>
      </c>
      <c r="AE8" s="119">
        <v>4.46</v>
      </c>
      <c r="AF8" s="119">
        <v>63.57</v>
      </c>
      <c r="AG8" s="119">
        <v>25.46</v>
      </c>
      <c r="AH8" s="119">
        <v>4046</v>
      </c>
      <c r="AI8" s="119">
        <v>3.74</v>
      </c>
      <c r="AJ8" s="119">
        <v>54.77</v>
      </c>
      <c r="AK8" s="119">
        <v>2940.5</v>
      </c>
      <c r="AL8" s="119">
        <v>5770</v>
      </c>
      <c r="AM8" s="119">
        <v>441.3</v>
      </c>
      <c r="AN8" s="126">
        <f t="shared" si="0"/>
        <v>1.7331022530329358E-2</v>
      </c>
      <c r="AO8" s="126">
        <f t="shared" si="0"/>
        <v>0.20808561236623069</v>
      </c>
      <c r="AP8" s="126">
        <f t="shared" si="0"/>
        <v>0.10793850015688729</v>
      </c>
      <c r="AQ8" s="126">
        <f t="shared" si="0"/>
        <v>8.5442764578833694E-2</v>
      </c>
      <c r="AR8" s="126">
        <f t="shared" si="0"/>
        <v>0.44786814761734139</v>
      </c>
      <c r="AS8" s="126">
        <f t="shared" si="0"/>
        <v>0.47281947261663293</v>
      </c>
      <c r="AT8" s="126">
        <f t="shared" si="0"/>
        <v>9.2496958226307907E-2</v>
      </c>
      <c r="AU8" s="126">
        <f t="shared" si="0"/>
        <v>4.5129848454503102E-2</v>
      </c>
      <c r="AV8" s="126">
        <f t="shared" si="0"/>
        <v>-7.6871657754010711E-2</v>
      </c>
      <c r="AW8" s="126">
        <f t="shared" si="0"/>
        <v>0.36967213114754094</v>
      </c>
      <c r="AX8" s="126"/>
      <c r="AY8" s="126">
        <f t="shared" si="0"/>
        <v>9.1032814153939365E-2</v>
      </c>
      <c r="AZ8" s="126">
        <f t="shared" si="0"/>
        <v>3.850417559677783E-2</v>
      </c>
      <c r="BA8" s="126">
        <f t="shared" si="0"/>
        <v>0.21186517670573266</v>
      </c>
      <c r="BB8" s="126">
        <f t="shared" si="0"/>
        <v>0.3849670536596716</v>
      </c>
      <c r="BC8" s="126">
        <f t="shared" si="0"/>
        <v>0.43891402714932121</v>
      </c>
      <c r="BD8" s="126">
        <f t="shared" si="1"/>
        <v>-3.8886614817846446E-3</v>
      </c>
      <c r="BE8" s="126">
        <f t="shared" si="1"/>
        <v>3.3240027991602618E-2</v>
      </c>
      <c r="BF8" s="126">
        <f t="shared" si="1"/>
        <v>0.16758506681361057</v>
      </c>
      <c r="BG8" s="126">
        <f t="shared" si="1"/>
        <v>-0.1466069142125481</v>
      </c>
      <c r="BH8" s="126">
        <f t="shared" si="1"/>
        <v>5.9002719854941002E-2</v>
      </c>
      <c r="BI8" s="126">
        <f t="shared" si="1"/>
        <v>-0.11698399166429853</v>
      </c>
      <c r="BJ8" s="126">
        <f t="shared" si="1"/>
        <v>-2.3121932804831907E-2</v>
      </c>
      <c r="BK8" s="126">
        <f t="shared" si="1"/>
        <v>0.1550028105677346</v>
      </c>
      <c r="BL8" s="126">
        <f t="shared" si="1"/>
        <v>0.137091394262842</v>
      </c>
      <c r="BM8" s="126">
        <f t="shared" si="1"/>
        <v>0.11620451995512102</v>
      </c>
      <c r="BN8" s="126">
        <f t="shared" si="1"/>
        <v>0.17150896479518393</v>
      </c>
      <c r="BO8" s="126">
        <f t="shared" si="1"/>
        <v>-1.1718749999999903E-2</v>
      </c>
      <c r="BP8" s="126">
        <f t="shared" si="1"/>
        <v>-3.7326388888888867E-2</v>
      </c>
      <c r="BQ8" s="126">
        <f t="shared" si="1"/>
        <v>-4.2918454935622352E-2</v>
      </c>
      <c r="BR8" s="126">
        <f t="shared" si="1"/>
        <v>-3.4917261272202883E-2</v>
      </c>
      <c r="BS8" s="126">
        <f t="shared" si="1"/>
        <v>-0.2144399876581301</v>
      </c>
      <c r="BT8" s="126">
        <f t="shared" si="2"/>
        <v>6.027253668763103E-2</v>
      </c>
      <c r="BU8" s="126">
        <f t="shared" si="2"/>
        <v>5.3763440860215101E-3</v>
      </c>
      <c r="BV8" s="126">
        <f t="shared" si="2"/>
        <v>-3.4549621011810222E-2</v>
      </c>
      <c r="BW8" s="126">
        <f t="shared" si="2"/>
        <v>4.6627513792489764E-2</v>
      </c>
      <c r="BX8" s="126">
        <f t="shared" si="2"/>
        <v>6.9310600444773912E-2</v>
      </c>
      <c r="BY8" s="126">
        <f t="shared" si="2"/>
        <v>4.0924637339308935E-2</v>
      </c>
    </row>
    <row r="9" spans="1:77" ht="15.75">
      <c r="A9" s="124">
        <v>45249</v>
      </c>
      <c r="B9" s="119">
        <v>40.39</v>
      </c>
      <c r="C9" s="119">
        <v>8.41</v>
      </c>
      <c r="D9" s="119">
        <v>414.31</v>
      </c>
      <c r="E9" s="119">
        <v>115.75</v>
      </c>
      <c r="F9" s="119">
        <v>279.10000000000002</v>
      </c>
      <c r="G9" s="119">
        <v>49.3</v>
      </c>
      <c r="H9" s="119">
        <v>369.85</v>
      </c>
      <c r="I9" s="119">
        <v>149.79</v>
      </c>
      <c r="J9" s="119">
        <v>29.92</v>
      </c>
      <c r="K9" s="119">
        <v>244</v>
      </c>
      <c r="M9" s="119">
        <v>132.26</v>
      </c>
      <c r="N9" s="119">
        <v>135.31</v>
      </c>
      <c r="O9" s="119">
        <v>110.07</v>
      </c>
      <c r="P9" s="119">
        <v>37386.550000000003</v>
      </c>
      <c r="Q9" s="119">
        <v>48.62</v>
      </c>
      <c r="R9" s="119">
        <v>48.86</v>
      </c>
      <c r="S9" s="119">
        <v>28.58</v>
      </c>
      <c r="T9" s="119">
        <v>145.18</v>
      </c>
      <c r="U9" s="119">
        <v>234.3</v>
      </c>
      <c r="V9" s="119">
        <v>275.75</v>
      </c>
      <c r="W9" s="119">
        <v>105.57</v>
      </c>
      <c r="X9" s="119">
        <v>105.96</v>
      </c>
      <c r="Y9" s="119">
        <v>711.6</v>
      </c>
      <c r="Z9" s="119">
        <v>29.98</v>
      </c>
      <c r="AA9" s="119">
        <v>249.56</v>
      </c>
      <c r="AB9" s="119">
        <v>152.82</v>
      </c>
      <c r="AC9" s="119">
        <v>104.96</v>
      </c>
      <c r="AD9" s="119">
        <v>11.52</v>
      </c>
      <c r="AE9" s="119">
        <v>4.66</v>
      </c>
      <c r="AF9" s="119">
        <v>65.87</v>
      </c>
      <c r="AG9" s="119">
        <v>32.409999999999997</v>
      </c>
      <c r="AH9" s="119">
        <v>3816</v>
      </c>
      <c r="AI9" s="119">
        <v>3.72</v>
      </c>
      <c r="AJ9" s="119">
        <v>56.73</v>
      </c>
      <c r="AK9" s="119">
        <v>2809.5</v>
      </c>
      <c r="AL9" s="119">
        <v>5396</v>
      </c>
      <c r="AM9" s="119">
        <v>423.95</v>
      </c>
      <c r="AN9" s="126">
        <f t="shared" si="0"/>
        <v>1.4314414866901062E-2</v>
      </c>
      <c r="AO9" s="126">
        <f t="shared" si="0"/>
        <v>0.10657894736842112</v>
      </c>
      <c r="AP9" s="126">
        <f t="shared" si="0"/>
        <v>3.2960183499962672E-2</v>
      </c>
      <c r="AQ9" s="126">
        <f t="shared" si="0"/>
        <v>9.6824842986741044E-3</v>
      </c>
      <c r="AR9" s="126">
        <f t="shared" si="0"/>
        <v>0.11908580593424224</v>
      </c>
      <c r="AS9" s="126">
        <f t="shared" si="0"/>
        <v>0.13856812933025406</v>
      </c>
      <c r="AT9" s="126">
        <f t="shared" si="0"/>
        <v>0.16863624873609706</v>
      </c>
      <c r="AU9" s="126">
        <f t="shared" si="0"/>
        <v>-0.1316018319902604</v>
      </c>
      <c r="AV9" s="126">
        <f t="shared" si="0"/>
        <v>-0.18385160938352416</v>
      </c>
      <c r="AW9" s="126">
        <f t="shared" si="0"/>
        <v>0.21272365805168994</v>
      </c>
      <c r="AX9" s="126"/>
      <c r="AY9" s="126">
        <f t="shared" si="0"/>
        <v>4.3883188634569754E-2</v>
      </c>
      <c r="AZ9" s="126">
        <f t="shared" si="0"/>
        <v>6.1587949160521016E-2</v>
      </c>
      <c r="BA9" s="126">
        <f t="shared" si="0"/>
        <v>-9.3850333415658238E-2</v>
      </c>
      <c r="BB9" s="126">
        <f t="shared" si="0"/>
        <v>0.43264290101896036</v>
      </c>
      <c r="BC9" s="126">
        <f t="shared" si="0"/>
        <v>0.47961046865489954</v>
      </c>
      <c r="BD9" s="126">
        <f t="shared" si="1"/>
        <v>1.2852404643449366E-2</v>
      </c>
      <c r="BE9" s="126">
        <f t="shared" si="1"/>
        <v>-4.9867021276595751E-2</v>
      </c>
      <c r="BF9" s="126">
        <f t="shared" si="1"/>
        <v>8.9776309863383932E-2</v>
      </c>
      <c r="BG9" s="126">
        <f t="shared" si="1"/>
        <v>8.7289433384379791E-2</v>
      </c>
      <c r="BH9" s="126">
        <f t="shared" si="1"/>
        <v>-2.1260736849577657E-2</v>
      </c>
      <c r="BI9" s="126">
        <f t="shared" si="1"/>
        <v>8.5775995063251967E-2</v>
      </c>
      <c r="BJ9" s="126">
        <f t="shared" si="1"/>
        <v>1.0972235473714259E-2</v>
      </c>
      <c r="BK9" s="126">
        <f t="shared" si="1"/>
        <v>-8.4052001544600283E-2</v>
      </c>
      <c r="BL9" s="126">
        <f t="shared" si="1"/>
        <v>2.9886636894537993E-2</v>
      </c>
      <c r="BM9" s="126">
        <f t="shared" si="1"/>
        <v>4.7822983583154954E-2</v>
      </c>
      <c r="BN9" s="126">
        <f t="shared" si="1"/>
        <v>2.5844129690541683E-2</v>
      </c>
      <c r="BO9" s="126">
        <f t="shared" si="1"/>
        <v>-4.6165030897855439E-2</v>
      </c>
      <c r="BP9" s="126">
        <f t="shared" si="1"/>
        <v>-0.1566617862371889</v>
      </c>
      <c r="BQ9" s="126">
        <f t="shared" si="1"/>
        <v>-8.8062622309197675E-2</v>
      </c>
      <c r="BR9" s="126">
        <f t="shared" si="1"/>
        <v>7.630718954248368E-2</v>
      </c>
      <c r="BS9" s="126">
        <f t="shared" si="1"/>
        <v>6.6469233300427644E-2</v>
      </c>
      <c r="BT9" s="126">
        <f t="shared" si="2"/>
        <v>-4.1206030150753768E-2</v>
      </c>
      <c r="BU9" s="126">
        <f t="shared" si="2"/>
        <v>4.7887323943662082E-2</v>
      </c>
      <c r="BV9" s="126">
        <f t="shared" si="2"/>
        <v>-2.5592579869460702E-2</v>
      </c>
      <c r="BW9" s="126">
        <f t="shared" si="2"/>
        <v>-0.13819018404907976</v>
      </c>
      <c r="BX9" s="126">
        <f t="shared" si="2"/>
        <v>-4.5631411390166257E-2</v>
      </c>
      <c r="BY9" s="126">
        <f t="shared" si="2"/>
        <v>6.4665996986438976E-2</v>
      </c>
    </row>
    <row r="10" spans="1:77" ht="15.75">
      <c r="A10" s="124">
        <v>45157</v>
      </c>
      <c r="B10" s="119">
        <v>39.82</v>
      </c>
      <c r="C10" s="119">
        <v>7.6</v>
      </c>
      <c r="D10" s="119">
        <v>401.09</v>
      </c>
      <c r="E10" s="119">
        <v>114.64</v>
      </c>
      <c r="F10" s="119">
        <v>249.4</v>
      </c>
      <c r="G10" s="119">
        <v>43.3</v>
      </c>
      <c r="H10" s="119">
        <v>316.48</v>
      </c>
      <c r="I10" s="119">
        <v>172.49</v>
      </c>
      <c r="J10" s="119">
        <v>36.659999999999997</v>
      </c>
      <c r="K10" s="119">
        <v>201.2</v>
      </c>
      <c r="M10" s="119">
        <v>126.7</v>
      </c>
      <c r="N10" s="119">
        <v>127.46</v>
      </c>
      <c r="O10" s="119">
        <v>121.47</v>
      </c>
      <c r="P10" s="119">
        <v>26096.21</v>
      </c>
      <c r="Q10" s="119">
        <v>32.86</v>
      </c>
      <c r="R10" s="119">
        <v>48.24</v>
      </c>
      <c r="S10" s="119">
        <v>30.08</v>
      </c>
      <c r="T10" s="119">
        <v>133.22</v>
      </c>
      <c r="U10" s="119">
        <v>215.49</v>
      </c>
      <c r="V10" s="119">
        <v>281.74</v>
      </c>
      <c r="W10" s="119">
        <v>97.23</v>
      </c>
      <c r="X10" s="119">
        <v>104.81</v>
      </c>
      <c r="Y10" s="119">
        <v>776.9</v>
      </c>
      <c r="Z10" s="119">
        <v>29.11</v>
      </c>
      <c r="AA10" s="119">
        <v>238.17</v>
      </c>
      <c r="AB10" s="119">
        <v>148.97</v>
      </c>
      <c r="AC10" s="119">
        <v>110.04</v>
      </c>
      <c r="AD10" s="119">
        <v>13.66</v>
      </c>
      <c r="AE10" s="119">
        <v>5.1100000000000003</v>
      </c>
      <c r="AF10" s="119">
        <v>61.2</v>
      </c>
      <c r="AG10" s="119">
        <v>30.39</v>
      </c>
      <c r="AH10" s="119">
        <v>3980</v>
      </c>
      <c r="AI10" s="119">
        <v>3.55</v>
      </c>
      <c r="AJ10" s="119">
        <v>58.22</v>
      </c>
      <c r="AK10" s="119">
        <v>3260</v>
      </c>
      <c r="AL10" s="119">
        <v>5654</v>
      </c>
      <c r="AM10" s="119">
        <v>398.2</v>
      </c>
      <c r="AN10" s="126">
        <f t="shared" si="0"/>
        <v>-1.7548257708698994E-3</v>
      </c>
      <c r="AO10" s="126"/>
      <c r="AP10" s="126">
        <f t="shared" si="0"/>
        <v>4.2957068934134181E-2</v>
      </c>
      <c r="AQ10" s="126">
        <f t="shared" si="0"/>
        <v>1.8388558230434462E-2</v>
      </c>
      <c r="AR10" s="126">
        <f t="shared" si="0"/>
        <v>-4.6636085626911378E-2</v>
      </c>
      <c r="AS10" s="126">
        <f t="shared" si="0"/>
        <v>0.38515674984005105</v>
      </c>
      <c r="AT10" s="126">
        <f t="shared" si="0"/>
        <v>-5.8428095746684578E-3</v>
      </c>
      <c r="AU10" s="126">
        <f t="shared" si="0"/>
        <v>8.5457177018438191E-2</v>
      </c>
      <c r="AV10" s="126">
        <f t="shared" si="0"/>
        <v>-2.9915692140333569E-3</v>
      </c>
      <c r="AW10" s="126">
        <f t="shared" si="0"/>
        <v>0.28974358974358966</v>
      </c>
      <c r="AX10" s="126"/>
      <c r="AY10" s="126">
        <f t="shared" si="0"/>
        <v>-1.9653358093469561E-2</v>
      </c>
      <c r="AZ10" s="126">
        <f t="shared" si="0"/>
        <v>3.8286086673183353E-2</v>
      </c>
      <c r="BA10" s="126">
        <f t="shared" si="0"/>
        <v>-1.2920526572403734E-2</v>
      </c>
      <c r="BB10" s="126">
        <f t="shared" si="0"/>
        <v>-2.9524587646099214E-2</v>
      </c>
      <c r="BC10" s="126">
        <f t="shared" si="0"/>
        <v>0.13978494623655918</v>
      </c>
      <c r="BD10" s="126">
        <f t="shared" si="1"/>
        <v>-6.794317479925845E-3</v>
      </c>
      <c r="BE10" s="126">
        <f t="shared" si="1"/>
        <v>-4.8101265822784907E-2</v>
      </c>
      <c r="BF10" s="126">
        <f t="shared" si="1"/>
        <v>0.14597849462365589</v>
      </c>
      <c r="BG10" s="126">
        <f t="shared" si="1"/>
        <v>0.19623626068613315</v>
      </c>
      <c r="BH10" s="126">
        <f t="shared" si="1"/>
        <v>-4.6726442226357641E-2</v>
      </c>
      <c r="BI10" s="126">
        <f t="shared" si="1"/>
        <v>-7.8475973841342056E-2</v>
      </c>
      <c r="BJ10" s="126">
        <f t="shared" si="1"/>
        <v>-8.6702683861972829E-2</v>
      </c>
      <c r="BK10" s="126">
        <f t="shared" si="1"/>
        <v>-0.11140340844103852</v>
      </c>
      <c r="BL10" s="126">
        <f t="shared" si="1"/>
        <v>3.557452863749555E-2</v>
      </c>
      <c r="BM10" s="126">
        <f t="shared" si="1"/>
        <v>2.0830654494020766E-2</v>
      </c>
      <c r="BN10" s="126">
        <f t="shared" si="1"/>
        <v>7.03405661733007E-2</v>
      </c>
      <c r="BO10" s="126">
        <f t="shared" si="1"/>
        <v>3.5573122529644279E-2</v>
      </c>
      <c r="BP10" s="126">
        <f t="shared" si="1"/>
        <v>0.33790401567091077</v>
      </c>
      <c r="BQ10" s="126">
        <f t="shared" si="1"/>
        <v>0.43943661971831</v>
      </c>
      <c r="BR10" s="126">
        <f t="shared" si="1"/>
        <v>1.2909632571996047E-2</v>
      </c>
      <c r="BS10" s="126">
        <f t="shared" si="1"/>
        <v>0.10028964518464879</v>
      </c>
      <c r="BT10" s="126">
        <f t="shared" si="2"/>
        <v>-6.8133926480917817E-2</v>
      </c>
      <c r="BU10" s="126">
        <f t="shared" si="2"/>
        <v>0.10937499999999989</v>
      </c>
      <c r="BV10" s="126">
        <f t="shared" si="2"/>
        <v>-2.7234753550543066E-2</v>
      </c>
      <c r="BW10" s="126">
        <f t="shared" si="2"/>
        <v>-8.1172491544532127E-2</v>
      </c>
      <c r="BX10" s="126">
        <f t="shared" si="2"/>
        <v>-0.13042140879729314</v>
      </c>
      <c r="BY10" s="126">
        <f t="shared" si="2"/>
        <v>-5.5502846299810324E-2</v>
      </c>
    </row>
    <row r="11" spans="1:77" ht="15.75">
      <c r="A11" s="124">
        <v>45065</v>
      </c>
      <c r="B11" s="119">
        <v>39.89</v>
      </c>
      <c r="D11" s="119">
        <v>384.57</v>
      </c>
      <c r="E11" s="119">
        <v>112.57</v>
      </c>
      <c r="F11" s="119">
        <v>261.60000000000002</v>
      </c>
      <c r="G11" s="119">
        <v>31.26</v>
      </c>
      <c r="H11" s="119">
        <v>318.33999999999997</v>
      </c>
      <c r="I11" s="119">
        <v>158.91</v>
      </c>
      <c r="J11" s="119">
        <v>36.770000000000003</v>
      </c>
      <c r="K11" s="119">
        <v>156</v>
      </c>
      <c r="M11" s="119">
        <v>129.24</v>
      </c>
      <c r="N11" s="119">
        <v>122.76</v>
      </c>
      <c r="O11" s="119">
        <v>123.06</v>
      </c>
      <c r="P11" s="119">
        <v>26890.13</v>
      </c>
      <c r="Q11" s="119">
        <v>28.83</v>
      </c>
      <c r="R11" s="119">
        <v>48.57</v>
      </c>
      <c r="S11" s="119">
        <v>31.6</v>
      </c>
      <c r="T11" s="119">
        <v>116.25</v>
      </c>
      <c r="U11" s="119">
        <v>180.14</v>
      </c>
      <c r="V11" s="119">
        <v>295.55</v>
      </c>
      <c r="W11" s="119">
        <v>105.51</v>
      </c>
      <c r="X11" s="119">
        <v>114.76</v>
      </c>
      <c r="Y11" s="119">
        <v>874.3</v>
      </c>
      <c r="Z11" s="119">
        <v>28.11</v>
      </c>
      <c r="AA11" s="119">
        <v>233.31</v>
      </c>
      <c r="AB11" s="119">
        <v>139.18</v>
      </c>
      <c r="AC11" s="119">
        <v>106.26</v>
      </c>
      <c r="AD11" s="119">
        <v>10.210000000000001</v>
      </c>
      <c r="AE11" s="119">
        <v>3.55</v>
      </c>
      <c r="AF11" s="119">
        <v>60.42</v>
      </c>
      <c r="AG11" s="119">
        <v>27.62</v>
      </c>
      <c r="AH11" s="119">
        <v>4271</v>
      </c>
      <c r="AI11" s="119">
        <v>3.2</v>
      </c>
      <c r="AJ11" s="119">
        <v>59.85</v>
      </c>
      <c r="AK11" s="119">
        <v>3548</v>
      </c>
      <c r="AL11" s="119">
        <v>6502</v>
      </c>
      <c r="AM11" s="119">
        <v>421.6</v>
      </c>
      <c r="AN11" s="126">
        <f t="shared" si="0"/>
        <v>-2.0142471137312705E-2</v>
      </c>
      <c r="AO11" s="126"/>
      <c r="AP11" s="126">
        <f t="shared" si="0"/>
        <v>2.7657527657527565E-2</v>
      </c>
      <c r="AQ11" s="126">
        <f t="shared" si="0"/>
        <v>-3.6380756719739775E-2</v>
      </c>
      <c r="AR11" s="126">
        <f t="shared" si="0"/>
        <v>4.8076923076923191E-2</v>
      </c>
      <c r="AS11" s="126">
        <f t="shared" si="0"/>
        <v>0.46143057503506313</v>
      </c>
      <c r="AT11" s="126">
        <f t="shared" si="0"/>
        <v>0.23358908780903656</v>
      </c>
      <c r="AU11" s="126">
        <f t="shared" si="0"/>
        <v>-9.2275079493733397E-3</v>
      </c>
      <c r="AV11" s="126">
        <f t="shared" si="0"/>
        <v>-0.14903957417264516</v>
      </c>
      <c r="AW11" s="126">
        <f t="shared" si="0"/>
        <v>0.38715987906811317</v>
      </c>
      <c r="AX11" s="126"/>
      <c r="AY11" s="126">
        <f t="shared" si="0"/>
        <v>2.8489575043769002E-2</v>
      </c>
      <c r="AZ11" s="126">
        <f t="shared" si="0"/>
        <v>0.30111287758346594</v>
      </c>
      <c r="BA11" s="126">
        <f t="shared" si="0"/>
        <v>-1.8033833386530411E-2</v>
      </c>
      <c r="BB11" s="126">
        <f t="shared" si="0"/>
        <v>0.10533245312738933</v>
      </c>
      <c r="BC11" s="126">
        <f t="shared" si="0"/>
        <v>-1.9721183270996322E-2</v>
      </c>
      <c r="BD11" s="126">
        <f t="shared" si="1"/>
        <v>7.676348547717789E-3</v>
      </c>
      <c r="BE11" s="126">
        <f t="shared" si="1"/>
        <v>-6.7571555030982569E-2</v>
      </c>
      <c r="BF11" s="126">
        <f t="shared" si="1"/>
        <v>0.19598765432098761</v>
      </c>
      <c r="BG11" s="126">
        <f t="shared" si="1"/>
        <v>-0.13523114588833957</v>
      </c>
      <c r="BH11" s="126">
        <f t="shared" si="1"/>
        <v>9.4670172969369235E-2</v>
      </c>
      <c r="BI11" s="126">
        <f t="shared" si="1"/>
        <v>-1.484593837535004E-2</v>
      </c>
      <c r="BJ11" s="126">
        <f t="shared" si="1"/>
        <v>-8.0743351489907064E-2</v>
      </c>
      <c r="BK11" s="126">
        <f t="shared" si="1"/>
        <v>6.8304007820136833E-2</v>
      </c>
      <c r="BL11" s="126">
        <f t="shared" si="1"/>
        <v>-0.20480905233380486</v>
      </c>
      <c r="BM11" s="126">
        <f t="shared" si="1"/>
        <v>4.3612453032742887E-2</v>
      </c>
      <c r="BN11" s="126">
        <f t="shared" si="1"/>
        <v>-2.1512935883014637E-2</v>
      </c>
      <c r="BO11" s="126">
        <f t="shared" si="1"/>
        <v>-4.5111430625449284E-2</v>
      </c>
      <c r="BP11" s="126">
        <f t="shared" si="1"/>
        <v>-8.676207513416806E-2</v>
      </c>
      <c r="BQ11" s="126">
        <f t="shared" si="1"/>
        <v>-0.14043583535108961</v>
      </c>
      <c r="BR11" s="126">
        <f t="shared" si="1"/>
        <v>-3.9564787339267209E-3</v>
      </c>
      <c r="BS11" s="126">
        <f t="shared" si="1"/>
        <v>-9.8858075040782964E-2</v>
      </c>
      <c r="BT11" s="126">
        <f t="shared" si="2"/>
        <v>8.3815370086176358E-3</v>
      </c>
      <c r="BU11" s="126">
        <f t="shared" si="2"/>
        <v>-9.090909090909087E-2</v>
      </c>
      <c r="BV11" s="126">
        <f t="shared" si="2"/>
        <v>-8.528198074277861E-2</v>
      </c>
      <c r="BW11" s="126">
        <f t="shared" si="2"/>
        <v>-3.5107428731919674E-3</v>
      </c>
      <c r="BX11" s="126">
        <f t="shared" si="2"/>
        <v>0.12569252077562326</v>
      </c>
      <c r="BY11" s="126">
        <f t="shared" si="2"/>
        <v>9.6203848153926158E-2</v>
      </c>
    </row>
    <row r="12" spans="1:77" ht="15.75">
      <c r="A12" s="124">
        <v>44976</v>
      </c>
      <c r="B12" s="119">
        <v>40.71</v>
      </c>
      <c r="D12" s="119">
        <v>374.22</v>
      </c>
      <c r="E12" s="119">
        <v>116.82</v>
      </c>
      <c r="F12" s="119">
        <v>249.6</v>
      </c>
      <c r="G12" s="119">
        <v>21.39</v>
      </c>
      <c r="H12" s="119">
        <v>258.06</v>
      </c>
      <c r="I12" s="119">
        <v>160.38999999999999</v>
      </c>
      <c r="J12" s="119">
        <v>43.21</v>
      </c>
      <c r="K12" s="119">
        <v>112.46</v>
      </c>
      <c r="M12" s="119">
        <v>125.66</v>
      </c>
      <c r="N12" s="119">
        <v>94.35</v>
      </c>
      <c r="O12" s="119">
        <v>125.32</v>
      </c>
      <c r="P12" s="119">
        <v>24327.64</v>
      </c>
      <c r="Q12" s="119">
        <v>29.41</v>
      </c>
      <c r="R12" s="119">
        <v>48.2</v>
      </c>
      <c r="S12" s="119">
        <v>33.89</v>
      </c>
      <c r="T12" s="119">
        <v>97.2</v>
      </c>
      <c r="U12" s="119">
        <v>208.31</v>
      </c>
      <c r="V12" s="119">
        <v>269.99</v>
      </c>
      <c r="W12" s="119">
        <v>107.1</v>
      </c>
      <c r="X12" s="119">
        <v>124.84</v>
      </c>
      <c r="Y12" s="119">
        <v>818.4</v>
      </c>
      <c r="Z12" s="119">
        <v>35.35</v>
      </c>
      <c r="AA12" s="119">
        <v>223.56</v>
      </c>
      <c r="AB12" s="119">
        <v>142.24</v>
      </c>
      <c r="AC12" s="119">
        <v>111.28</v>
      </c>
      <c r="AD12" s="119">
        <v>11.18</v>
      </c>
      <c r="AE12" s="119">
        <v>4.13</v>
      </c>
      <c r="AF12" s="119">
        <v>60.66</v>
      </c>
      <c r="AG12" s="119">
        <v>30.65</v>
      </c>
      <c r="AH12" s="119">
        <v>4235.5</v>
      </c>
      <c r="AI12" s="119">
        <v>3.52</v>
      </c>
      <c r="AJ12" s="119">
        <v>65.430000000000007</v>
      </c>
      <c r="AK12" s="119">
        <v>3560.5</v>
      </c>
      <c r="AL12" s="119">
        <v>5776</v>
      </c>
      <c r="AM12" s="119">
        <v>384.6</v>
      </c>
      <c r="AN12" s="126">
        <f t="shared" si="0"/>
        <v>4.4649730561970802E-2</v>
      </c>
      <c r="AO12" s="126"/>
      <c r="AP12" s="126">
        <f t="shared" si="0"/>
        <v>2.8105167724388081E-2</v>
      </c>
      <c r="AQ12" s="126">
        <f t="shared" si="0"/>
        <v>7.4404488181734466E-2</v>
      </c>
      <c r="AR12" s="126">
        <f t="shared" si="0"/>
        <v>0.38244253669343659</v>
      </c>
      <c r="AS12" s="126">
        <f t="shared" si="0"/>
        <v>0.39621409921671019</v>
      </c>
      <c r="AT12" s="126">
        <f t="shared" si="0"/>
        <v>6.9811790067158624E-2</v>
      </c>
      <c r="AU12" s="126">
        <f t="shared" si="0"/>
        <v>-8.9727582292849051E-2</v>
      </c>
      <c r="AV12" s="126">
        <f t="shared" si="0"/>
        <v>-0.10408459465063231</v>
      </c>
      <c r="AW12" s="126">
        <f t="shared" si="0"/>
        <v>0.31547549420984911</v>
      </c>
      <c r="AX12" s="126"/>
      <c r="AY12" s="126">
        <f t="shared" si="0"/>
        <v>9.6127006280530322E-2</v>
      </c>
      <c r="AZ12" s="126">
        <f t="shared" si="0"/>
        <v>-3.1612439700297777E-2</v>
      </c>
      <c r="BA12" s="126">
        <f t="shared" si="0"/>
        <v>9.392458100558651E-2</v>
      </c>
      <c r="BB12" s="126">
        <f t="shared" si="0"/>
        <v>0.45573809730396048</v>
      </c>
      <c r="BC12" s="126">
        <f t="shared" si="0"/>
        <v>0.72898295120517331</v>
      </c>
      <c r="BD12" s="126">
        <f t="shared" si="1"/>
        <v>-6.1855670103092199E-3</v>
      </c>
      <c r="BE12" s="126">
        <f t="shared" si="1"/>
        <v>4.9226006191950576E-2</v>
      </c>
      <c r="BF12" s="126">
        <f t="shared" si="1"/>
        <v>3.2504780114722777E-2</v>
      </c>
      <c r="BG12" s="126">
        <f t="shared" si="1"/>
        <v>0.15605749486652981</v>
      </c>
      <c r="BH12" s="126">
        <f t="shared" si="1"/>
        <v>-1.2364195047005873E-2</v>
      </c>
      <c r="BI12" s="126">
        <f t="shared" si="1"/>
        <v>9.3415007656967752E-2</v>
      </c>
      <c r="BJ12" s="126">
        <f t="shared" si="1"/>
        <v>0.18421551887687349</v>
      </c>
      <c r="BK12" s="126">
        <f t="shared" si="1"/>
        <v>0.17215697507877389</v>
      </c>
      <c r="BL12" s="126">
        <f t="shared" si="1"/>
        <v>-4.9475665501478798E-2</v>
      </c>
      <c r="BM12" s="126">
        <f t="shared" si="1"/>
        <v>6.0531309297912665E-2</v>
      </c>
      <c r="BN12" s="126">
        <f t="shared" si="1"/>
        <v>6.2761506276150666E-2</v>
      </c>
      <c r="BO12" s="126">
        <f t="shared" si="1"/>
        <v>-7.1377587437544358E-3</v>
      </c>
      <c r="BP12" s="126">
        <f t="shared" si="1"/>
        <v>-0.2048364153627312</v>
      </c>
      <c r="BQ12" s="126">
        <f t="shared" si="1"/>
        <v>-0.36559139784946237</v>
      </c>
      <c r="BR12" s="126">
        <f t="shared" si="1"/>
        <v>8.4376117268501943E-2</v>
      </c>
      <c r="BS12" s="126">
        <f t="shared" si="1"/>
        <v>-9.5870206489675522E-2</v>
      </c>
      <c r="BT12" s="126">
        <f t="shared" si="2"/>
        <v>4.826135379284742E-2</v>
      </c>
      <c r="BU12" s="126">
        <f t="shared" si="2"/>
        <v>0.34865900383141768</v>
      </c>
      <c r="BV12" s="126">
        <f t="shared" si="2"/>
        <v>0.22734946539110867</v>
      </c>
      <c r="BW12" s="126">
        <f t="shared" si="2"/>
        <v>-3.0892759934676103E-2</v>
      </c>
      <c r="BX12" s="126">
        <f t="shared" si="2"/>
        <v>-6.1940812112869928E-3</v>
      </c>
      <c r="BY12" s="126">
        <f t="shared" si="2"/>
        <v>0.10485492674518816</v>
      </c>
    </row>
    <row r="13" spans="1:77" ht="15.75">
      <c r="A13" s="124">
        <v>44884</v>
      </c>
      <c r="B13" s="119">
        <v>38.97</v>
      </c>
      <c r="D13" s="119">
        <v>363.99</v>
      </c>
      <c r="E13" s="119">
        <v>108.73</v>
      </c>
      <c r="F13" s="119">
        <v>180.55</v>
      </c>
      <c r="G13" s="119">
        <v>15.32</v>
      </c>
      <c r="H13" s="119">
        <v>241.22</v>
      </c>
      <c r="I13" s="119">
        <v>176.2</v>
      </c>
      <c r="J13" s="119">
        <v>48.23</v>
      </c>
      <c r="K13" s="119">
        <v>85.49</v>
      </c>
      <c r="M13" s="119">
        <v>114.64</v>
      </c>
      <c r="N13" s="119">
        <v>97.43</v>
      </c>
      <c r="O13" s="119">
        <v>114.56</v>
      </c>
      <c r="P13" s="119">
        <v>16711.55</v>
      </c>
      <c r="Q13" s="119">
        <v>17.010000000000002</v>
      </c>
      <c r="R13" s="119">
        <v>48.5</v>
      </c>
      <c r="S13" s="119">
        <v>32.299999999999997</v>
      </c>
      <c r="T13" s="119">
        <v>94.14</v>
      </c>
      <c r="U13" s="119">
        <v>180.19</v>
      </c>
      <c r="V13" s="119">
        <v>273.37</v>
      </c>
      <c r="W13" s="119">
        <v>97.95</v>
      </c>
      <c r="X13" s="119">
        <v>105.42</v>
      </c>
      <c r="Y13" s="119">
        <v>698.2</v>
      </c>
      <c r="Z13" s="119">
        <v>37.19</v>
      </c>
      <c r="AA13" s="119">
        <v>210.8</v>
      </c>
      <c r="AB13" s="119">
        <v>133.84</v>
      </c>
      <c r="AC13" s="119">
        <v>112.08</v>
      </c>
      <c r="AD13" s="119">
        <v>14.06</v>
      </c>
      <c r="AE13" s="119">
        <v>6.51</v>
      </c>
      <c r="AF13" s="119">
        <v>55.94</v>
      </c>
      <c r="AG13" s="119">
        <v>33.9</v>
      </c>
      <c r="AH13" s="119">
        <v>4040.5</v>
      </c>
      <c r="AI13" s="119">
        <v>2.61</v>
      </c>
      <c r="AJ13" s="119">
        <v>53.31</v>
      </c>
      <c r="AK13" s="119">
        <v>3674</v>
      </c>
      <c r="AL13" s="119">
        <v>5812</v>
      </c>
      <c r="AM13" s="119">
        <v>348.1</v>
      </c>
      <c r="AN13" s="126">
        <f t="shared" si="0"/>
        <v>-6.2319538017324427E-2</v>
      </c>
      <c r="AO13" s="126"/>
      <c r="AP13" s="126">
        <f t="shared" si="0"/>
        <v>-6.2171493352571355E-2</v>
      </c>
      <c r="AQ13" s="126">
        <f t="shared" si="0"/>
        <v>1.8357216446567463E-2</v>
      </c>
      <c r="AR13" s="126">
        <f t="shared" si="0"/>
        <v>7.3743681236990807E-2</v>
      </c>
      <c r="AS13" s="126">
        <f t="shared" si="0"/>
        <v>-0.1417366946778712</v>
      </c>
      <c r="AT13" s="126">
        <f t="shared" si="0"/>
        <v>-0.1570155512842914</v>
      </c>
      <c r="AU13" s="126">
        <f t="shared" si="0"/>
        <v>4.0694583899356131E-2</v>
      </c>
      <c r="AV13" s="126">
        <f t="shared" si="0"/>
        <v>-1.8718209562563617E-2</v>
      </c>
      <c r="AW13" s="126">
        <f t="shared" si="0"/>
        <v>5.2055131676101277E-2</v>
      </c>
      <c r="AX13" s="126"/>
      <c r="AY13" s="126">
        <f t="shared" si="0"/>
        <v>7.9066265060241017E-2</v>
      </c>
      <c r="AZ13" s="126">
        <f t="shared" si="0"/>
        <v>-0.16875693200238878</v>
      </c>
      <c r="BA13" s="126">
        <f t="shared" si="0"/>
        <v>-0.14558472553699289</v>
      </c>
      <c r="BB13" s="126">
        <f t="shared" si="0"/>
        <v>-0.19954448678125547</v>
      </c>
      <c r="BC13" s="126">
        <f t="shared" si="0"/>
        <v>-0.39893992932862188</v>
      </c>
      <c r="BD13" s="126">
        <f t="shared" si="1"/>
        <v>-3.2708416433984852E-2</v>
      </c>
      <c r="BE13" s="126">
        <f t="shared" si="1"/>
        <v>-6.7013287117273265E-2</v>
      </c>
      <c r="BF13" s="126">
        <f t="shared" si="1"/>
        <v>-0.31896115170368222</v>
      </c>
      <c r="BG13" s="126">
        <f t="shared" si="1"/>
        <v>-0.39262480196851723</v>
      </c>
      <c r="BH13" s="126">
        <f t="shared" si="1"/>
        <v>2.5624671719066495E-2</v>
      </c>
      <c r="BI13" s="126">
        <f t="shared" si="1"/>
        <v>0.12689829728485966</v>
      </c>
      <c r="BJ13" s="126">
        <f t="shared" si="1"/>
        <v>-6.8398727465535478E-2</v>
      </c>
      <c r="BK13" s="126">
        <f t="shared" si="1"/>
        <v>-1.4320492624933276E-4</v>
      </c>
      <c r="BL13" s="126">
        <f t="shared" si="1"/>
        <v>4.8196166854565979E-2</v>
      </c>
      <c r="BM13" s="126">
        <f t="shared" si="1"/>
        <v>-9.4915891363592797E-3</v>
      </c>
      <c r="BN13" s="126">
        <f t="shared" si="1"/>
        <v>0.12821377391890759</v>
      </c>
      <c r="BO13" s="126">
        <f t="shared" si="1"/>
        <v>0.19132653061224489</v>
      </c>
      <c r="BP13" s="126">
        <f t="shared" si="1"/>
        <v>-0.18775274407856721</v>
      </c>
      <c r="BQ13" s="126">
        <f t="shared" si="1"/>
        <v>0.47954545454545439</v>
      </c>
      <c r="BR13" s="126">
        <f t="shared" si="1"/>
        <v>5.8267120696178551E-2</v>
      </c>
      <c r="BS13" s="126">
        <f t="shared" si="1"/>
        <v>-0.11810613943808532</v>
      </c>
      <c r="BT13" s="126">
        <f t="shared" si="2"/>
        <v>9.115884115884116E-3</v>
      </c>
      <c r="BU13" s="126">
        <f t="shared" si="2"/>
        <v>3.1620553359683827E-2</v>
      </c>
      <c r="BV13" s="126">
        <f t="shared" si="2"/>
        <v>0.11854804867813692</v>
      </c>
      <c r="BW13" s="126">
        <f t="shared" si="2"/>
        <v>-7.2222222222222215E-2</v>
      </c>
      <c r="BX13" s="126">
        <f t="shared" si="2"/>
        <v>-0.1291579262810908</v>
      </c>
      <c r="BY13" s="126">
        <f t="shared" si="2"/>
        <v>-3.8796078972801205E-2</v>
      </c>
    </row>
    <row r="14" spans="1:77" ht="15.75">
      <c r="A14" s="124">
        <v>44792</v>
      </c>
      <c r="B14" s="119">
        <v>41.56</v>
      </c>
      <c r="D14" s="119">
        <v>388.12</v>
      </c>
      <c r="E14" s="119">
        <v>106.77</v>
      </c>
      <c r="F14" s="119">
        <v>168.15</v>
      </c>
      <c r="G14" s="119">
        <v>17.850000000000001</v>
      </c>
      <c r="H14" s="119">
        <v>286.14999999999998</v>
      </c>
      <c r="I14" s="119">
        <v>169.31</v>
      </c>
      <c r="J14" s="119">
        <v>49.15</v>
      </c>
      <c r="K14" s="119">
        <v>81.260000000000005</v>
      </c>
      <c r="M14" s="119">
        <v>106.24</v>
      </c>
      <c r="N14" s="119">
        <v>117.21</v>
      </c>
      <c r="O14" s="119">
        <v>134.08000000000001</v>
      </c>
      <c r="P14" s="119">
        <v>20877.55</v>
      </c>
      <c r="Q14" s="119">
        <v>28.3</v>
      </c>
      <c r="R14" s="119">
        <v>50.14</v>
      </c>
      <c r="S14" s="119">
        <v>34.619999999999997</v>
      </c>
      <c r="T14" s="119">
        <v>138.22999999999999</v>
      </c>
      <c r="U14" s="119">
        <v>296.67</v>
      </c>
      <c r="V14" s="119">
        <v>266.54000000000002</v>
      </c>
      <c r="W14" s="119">
        <v>86.92</v>
      </c>
      <c r="X14" s="119">
        <v>113.16</v>
      </c>
      <c r="Y14" s="119">
        <v>698.3</v>
      </c>
      <c r="Z14" s="119">
        <v>35.479999999999997</v>
      </c>
      <c r="AA14" s="119">
        <v>212.82</v>
      </c>
      <c r="AB14" s="119">
        <v>118.63</v>
      </c>
      <c r="AC14" s="119">
        <v>94.08</v>
      </c>
      <c r="AD14" s="119">
        <v>17.309999999999999</v>
      </c>
      <c r="AE14" s="119">
        <v>4.4000000000000004</v>
      </c>
      <c r="AF14" s="119">
        <v>52.86</v>
      </c>
      <c r="AG14" s="119">
        <v>38.44</v>
      </c>
      <c r="AH14" s="119">
        <v>4004</v>
      </c>
      <c r="AI14" s="119">
        <v>2.5299999999999998</v>
      </c>
      <c r="AJ14" s="119">
        <v>47.66</v>
      </c>
      <c r="AK14" s="119">
        <v>3960</v>
      </c>
      <c r="AL14" s="119">
        <v>6674</v>
      </c>
      <c r="AM14" s="119">
        <v>362.15</v>
      </c>
      <c r="AN14" s="126">
        <f t="shared" si="0"/>
        <v>-1.0947168015230862E-2</v>
      </c>
      <c r="AO14" s="126"/>
      <c r="AP14" s="126">
        <f t="shared" si="0"/>
        <v>8.4346101192970688E-2</v>
      </c>
      <c r="AQ14" s="126">
        <f t="shared" si="0"/>
        <v>9.8795924668107382E-2</v>
      </c>
      <c r="AR14" s="126">
        <f t="shared" si="0"/>
        <v>-0.11685924369747899</v>
      </c>
      <c r="AS14" s="126">
        <f t="shared" si="0"/>
        <v>4.2640186915887876E-2</v>
      </c>
      <c r="AT14" s="126">
        <f t="shared" si="0"/>
        <v>0.13040214900845379</v>
      </c>
      <c r="AU14" s="126">
        <f t="shared" si="0"/>
        <v>-2.6618374152006415E-2</v>
      </c>
      <c r="AV14" s="126">
        <f t="shared" si="0"/>
        <v>-2.9615004935834157E-2</v>
      </c>
      <c r="AW14" s="126">
        <f t="shared" si="0"/>
        <v>-2.1317596049620569E-2</v>
      </c>
      <c r="AX14" s="126"/>
      <c r="AY14" s="126">
        <f t="shared" si="0"/>
        <v>-1.503759398496342E-3</v>
      </c>
      <c r="AZ14" s="126">
        <f t="shared" si="0"/>
        <v>6.1877151657909031E-2</v>
      </c>
      <c r="BA14" s="126">
        <f t="shared" si="0"/>
        <v>0.11994654193117285</v>
      </c>
      <c r="BB14" s="126">
        <f t="shared" si="0"/>
        <v>-0.31129766021548233</v>
      </c>
      <c r="BC14" s="126">
        <f t="shared" si="0"/>
        <v>0.34250474383301721</v>
      </c>
      <c r="BD14" s="126">
        <f t="shared" si="1"/>
        <v>-1.1045364891518783E-2</v>
      </c>
      <c r="BE14" s="126">
        <f t="shared" si="1"/>
        <v>0.18197336975076814</v>
      </c>
      <c r="BF14" s="126">
        <f t="shared" si="1"/>
        <v>0.28801714498695491</v>
      </c>
      <c r="BG14" s="126">
        <f t="shared" si="1"/>
        <v>0.25457774770584013</v>
      </c>
      <c r="BH14" s="126">
        <f t="shared" si="1"/>
        <v>0.1639301310043669</v>
      </c>
      <c r="BI14" s="126">
        <f t="shared" si="1"/>
        <v>0.2083970526901153</v>
      </c>
      <c r="BJ14" s="126">
        <f t="shared" si="1"/>
        <v>6.3134160090191654E-2</v>
      </c>
      <c r="BK14" s="126">
        <f t="shared" si="1"/>
        <v>0.22832014072119605</v>
      </c>
      <c r="BL14" s="126">
        <f t="shared" si="1"/>
        <v>2.9898403483308966E-2</v>
      </c>
      <c r="BM14" s="126">
        <f t="shared" si="1"/>
        <v>7.8279373765009819E-2</v>
      </c>
      <c r="BN14" s="126">
        <f t="shared" si="1"/>
        <v>2.7047586848110319E-3</v>
      </c>
      <c r="BO14" s="126">
        <f t="shared" si="1"/>
        <v>3.2258064516129011E-2</v>
      </c>
      <c r="BP14" s="126">
        <f t="shared" si="1"/>
        <v>4.0264423076922962E-2</v>
      </c>
      <c r="BQ14" s="126">
        <f t="shared" si="1"/>
        <v>-5.1724137931034343E-2</v>
      </c>
      <c r="BR14" s="126">
        <f t="shared" si="1"/>
        <v>-9.7181895815542235E-2</v>
      </c>
      <c r="BS14" s="126">
        <f t="shared" si="1"/>
        <v>0.12004662004661996</v>
      </c>
      <c r="BT14" s="126">
        <f t="shared" si="2"/>
        <v>0.160075329566855</v>
      </c>
      <c r="BU14" s="126">
        <f t="shared" si="2"/>
        <v>-7.66423357664235E-2</v>
      </c>
      <c r="BV14" s="126">
        <f t="shared" si="2"/>
        <v>-0.10396691107351008</v>
      </c>
      <c r="BW14" s="126">
        <f t="shared" si="2"/>
        <v>0.1092436974789916</v>
      </c>
      <c r="BX14" s="126">
        <f t="shared" si="2"/>
        <v>8.5203252032520327E-2</v>
      </c>
      <c r="BY14" s="126">
        <f t="shared" si="2"/>
        <v>0.17333549327717482</v>
      </c>
    </row>
    <row r="15" spans="1:77" ht="15.75">
      <c r="A15" s="124">
        <v>44700</v>
      </c>
      <c r="B15" s="119">
        <v>42.02</v>
      </c>
      <c r="D15" s="119">
        <v>357.93</v>
      </c>
      <c r="E15" s="119">
        <v>97.17</v>
      </c>
      <c r="F15" s="119">
        <v>190.4</v>
      </c>
      <c r="G15" s="119">
        <v>17.12</v>
      </c>
      <c r="H15" s="119">
        <v>253.14</v>
      </c>
      <c r="I15" s="119">
        <v>173.94</v>
      </c>
      <c r="J15" s="119">
        <v>50.65</v>
      </c>
      <c r="K15" s="119">
        <v>83.03</v>
      </c>
      <c r="M15" s="119">
        <v>106.4</v>
      </c>
      <c r="N15" s="119">
        <v>110.38</v>
      </c>
      <c r="O15" s="119">
        <v>119.72</v>
      </c>
      <c r="P15" s="119">
        <v>30314.33</v>
      </c>
      <c r="Q15" s="119">
        <v>21.08</v>
      </c>
      <c r="R15" s="119">
        <v>50.7</v>
      </c>
      <c r="S15" s="119">
        <v>29.29</v>
      </c>
      <c r="T15" s="119">
        <v>107.32</v>
      </c>
      <c r="U15" s="119">
        <v>236.47</v>
      </c>
      <c r="V15" s="119">
        <v>229</v>
      </c>
      <c r="W15" s="119">
        <v>71.930000000000007</v>
      </c>
      <c r="X15" s="119">
        <v>106.44</v>
      </c>
      <c r="Y15" s="119">
        <v>568.5</v>
      </c>
      <c r="Z15" s="119">
        <v>34.450000000000003</v>
      </c>
      <c r="AA15" s="119">
        <v>197.37</v>
      </c>
      <c r="AB15" s="119">
        <v>118.31</v>
      </c>
      <c r="AC15" s="119">
        <v>91.14</v>
      </c>
      <c r="AD15" s="119">
        <v>16.64</v>
      </c>
      <c r="AE15" s="119">
        <v>4.6399999999999997</v>
      </c>
      <c r="AF15" s="119">
        <v>58.55</v>
      </c>
      <c r="AG15" s="119">
        <v>34.32</v>
      </c>
      <c r="AH15" s="119">
        <v>3451.5</v>
      </c>
      <c r="AI15" s="119">
        <v>2.74</v>
      </c>
      <c r="AJ15" s="119">
        <v>53.19</v>
      </c>
      <c r="AK15" s="119">
        <v>3570</v>
      </c>
      <c r="AL15" s="119">
        <v>6150</v>
      </c>
      <c r="AM15" s="119">
        <v>308.64999999999998</v>
      </c>
      <c r="AN15" s="126">
        <f t="shared" si="0"/>
        <v>-0.1543570134835982</v>
      </c>
      <c r="AO15" s="126"/>
      <c r="AP15" s="126">
        <f t="shared" si="0"/>
        <v>-0.10358386135390321</v>
      </c>
      <c r="AQ15" s="126">
        <f t="shared" si="0"/>
        <v>-6.8360498561840802E-2</v>
      </c>
      <c r="AR15" s="126">
        <f t="shared" si="0"/>
        <v>1.0165219233213303</v>
      </c>
      <c r="AS15" s="126">
        <f t="shared" si="0"/>
        <v>-0.27580372250423008</v>
      </c>
      <c r="AT15" s="126">
        <f t="shared" si="0"/>
        <v>-0.12082797902267919</v>
      </c>
      <c r="AU15" s="126">
        <f t="shared" si="0"/>
        <v>6.4764936336924483E-2</v>
      </c>
      <c r="AV15" s="126">
        <f t="shared" si="0"/>
        <v>4.3684318977951726E-2</v>
      </c>
      <c r="AW15" s="126">
        <f t="shared" si="0"/>
        <v>-0.29070562104903469</v>
      </c>
      <c r="AX15" s="126"/>
      <c r="AY15" s="126">
        <f t="shared" si="0"/>
        <v>-7.478260869565212E-2</v>
      </c>
      <c r="AZ15" s="126">
        <f t="shared" si="0"/>
        <v>-0.15352760736196328</v>
      </c>
      <c r="BA15" s="126">
        <f t="shared" si="0"/>
        <v>-0.16015433181339889</v>
      </c>
      <c r="BB15" s="126">
        <f t="shared" si="0"/>
        <v>-0.24444920213667462</v>
      </c>
      <c r="BC15" s="126">
        <f t="shared" si="0"/>
        <v>-0.46767676767676775</v>
      </c>
      <c r="BD15" s="126">
        <f t="shared" si="1"/>
        <v>-5.3927971636499351E-2</v>
      </c>
      <c r="BE15" s="126">
        <f t="shared" si="1"/>
        <v>4.9068767908309358E-2</v>
      </c>
      <c r="BF15" s="126">
        <f t="shared" si="1"/>
        <v>-0.29672346002621236</v>
      </c>
      <c r="BG15" s="126">
        <f t="shared" si="1"/>
        <v>-0.17219771756633767</v>
      </c>
      <c r="BH15" s="126">
        <f t="shared" si="1"/>
        <v>-8.6193136472466056E-2</v>
      </c>
      <c r="BI15" s="126">
        <f t="shared" si="1"/>
        <v>-0.22937647310906359</v>
      </c>
      <c r="BJ15" s="126">
        <f t="shared" si="1"/>
        <v>-0.25540398740818465</v>
      </c>
      <c r="BK15" s="126">
        <f t="shared" si="1"/>
        <v>-0.17164505318373882</v>
      </c>
      <c r="BL15" s="126">
        <f t="shared" si="1"/>
        <v>-0.25043516100957347</v>
      </c>
      <c r="BM15" s="126">
        <f t="shared" si="1"/>
        <v>-0.11370066011046744</v>
      </c>
      <c r="BN15" s="126">
        <f t="shared" si="1"/>
        <v>-0.22236098330485071</v>
      </c>
      <c r="BO15" s="126">
        <f t="shared" si="1"/>
        <v>0.17812823164426062</v>
      </c>
      <c r="BP15" s="126">
        <f t="shared" si="1"/>
        <v>0.17847025495750718</v>
      </c>
      <c r="BQ15" s="126">
        <f t="shared" si="1"/>
        <v>0.12895377128953756</v>
      </c>
      <c r="BR15" s="126">
        <f t="shared" si="1"/>
        <v>9.9737039819684348E-2</v>
      </c>
      <c r="BS15" s="126">
        <f t="shared" si="1"/>
        <v>0.14323784143904067</v>
      </c>
      <c r="BT15" s="126">
        <f t="shared" si="2"/>
        <v>-0.10524951393389501</v>
      </c>
      <c r="BU15" s="126">
        <f t="shared" si="2"/>
        <v>-0.17469879518072279</v>
      </c>
      <c r="BV15" s="126">
        <f t="shared" si="2"/>
        <v>-0.14098837209302331</v>
      </c>
      <c r="BW15" s="126">
        <f t="shared" si="2"/>
        <v>-2.4190241902419023E-2</v>
      </c>
      <c r="BX15" s="126">
        <f t="shared" si="2"/>
        <v>-1.9607843137254902E-2</v>
      </c>
      <c r="BY15" s="126">
        <f t="shared" si="2"/>
        <v>-0.14442134442134449</v>
      </c>
    </row>
    <row r="16" spans="1:77" ht="15.75">
      <c r="A16" s="124">
        <v>44611</v>
      </c>
      <c r="B16" s="119">
        <v>49.69</v>
      </c>
      <c r="D16" s="119">
        <v>399.29</v>
      </c>
      <c r="E16" s="119">
        <v>104.3</v>
      </c>
      <c r="F16" s="119">
        <v>94.42</v>
      </c>
      <c r="G16" s="119">
        <v>23.64</v>
      </c>
      <c r="H16" s="119">
        <v>287.93</v>
      </c>
      <c r="I16" s="119">
        <v>163.36000000000001</v>
      </c>
      <c r="J16" s="119">
        <v>48.53</v>
      </c>
      <c r="K16" s="119">
        <v>117.06</v>
      </c>
      <c r="M16" s="119">
        <v>115</v>
      </c>
      <c r="N16" s="119">
        <v>130.4</v>
      </c>
      <c r="O16" s="119">
        <v>142.55000000000001</v>
      </c>
      <c r="P16" s="119">
        <v>40122.160000000003</v>
      </c>
      <c r="Q16" s="119">
        <v>39.6</v>
      </c>
      <c r="R16" s="119">
        <v>53.59</v>
      </c>
      <c r="S16" s="119">
        <v>27.92</v>
      </c>
      <c r="T16" s="119">
        <v>152.6</v>
      </c>
      <c r="U16" s="119">
        <v>285.66000000000003</v>
      </c>
      <c r="V16" s="119">
        <v>250.6</v>
      </c>
      <c r="W16" s="119">
        <v>93.34</v>
      </c>
      <c r="X16" s="119">
        <v>142.94999999999999</v>
      </c>
      <c r="Y16" s="119">
        <v>686.3</v>
      </c>
      <c r="Z16" s="119">
        <v>45.96</v>
      </c>
      <c r="AA16" s="119">
        <v>222.69</v>
      </c>
      <c r="AB16" s="119">
        <v>152.13999999999999</v>
      </c>
      <c r="AC16" s="119">
        <v>77.36</v>
      </c>
      <c r="AD16" s="119">
        <v>14.12</v>
      </c>
      <c r="AE16" s="119">
        <v>4.1100000000000003</v>
      </c>
      <c r="AF16" s="119">
        <v>53.24</v>
      </c>
      <c r="AG16" s="119">
        <v>30.02</v>
      </c>
      <c r="AH16" s="119">
        <v>3857.5</v>
      </c>
      <c r="AI16" s="119">
        <v>3.32</v>
      </c>
      <c r="AJ16" s="119">
        <v>61.92</v>
      </c>
      <c r="AK16" s="119">
        <v>3658.5</v>
      </c>
      <c r="AL16" s="119">
        <v>6273</v>
      </c>
      <c r="AM16" s="119">
        <v>360.75</v>
      </c>
      <c r="AN16" s="126">
        <f t="shared" si="0"/>
        <v>-2.6831179005092135E-2</v>
      </c>
      <c r="AO16" s="126"/>
      <c r="AP16" s="126">
        <f t="shared" si="0"/>
        <v>-7.3680547500289961E-2</v>
      </c>
      <c r="AQ16" s="126">
        <f t="shared" si="0"/>
        <v>1.1518525628718597E-3</v>
      </c>
      <c r="AR16" s="126">
        <f t="shared" si="0"/>
        <v>0.10536174198080074</v>
      </c>
      <c r="AS16" s="126">
        <f t="shared" si="0"/>
        <v>-0.28341921794483177</v>
      </c>
      <c r="AT16" s="126">
        <f t="shared" si="0"/>
        <v>-0.1608230596601673</v>
      </c>
      <c r="AU16" s="126">
        <f t="shared" si="0"/>
        <v>2.8853827736510978E-3</v>
      </c>
      <c r="AV16" s="126">
        <f t="shared" si="0"/>
        <v>-4.4685039370078665E-2</v>
      </c>
      <c r="AW16" s="126">
        <f t="shared" si="0"/>
        <v>-0.13926470588235293</v>
      </c>
      <c r="AX16" s="126"/>
      <c r="AY16" s="126">
        <f t="shared" si="0"/>
        <v>5.118829981718459E-2</v>
      </c>
      <c r="AZ16" s="126">
        <f t="shared" si="0"/>
        <v>-0.12442086886456726</v>
      </c>
      <c r="BA16" s="126">
        <f t="shared" si="0"/>
        <v>-5.1058447610171663E-2</v>
      </c>
      <c r="BB16" s="126">
        <f t="shared" si="0"/>
        <v>-0.30966190739850491</v>
      </c>
      <c r="BC16" s="126">
        <f t="shared" si="0"/>
        <v>-0.448698315467075</v>
      </c>
      <c r="BD16" s="126">
        <f t="shared" si="1"/>
        <v>-6.3439356868227811E-2</v>
      </c>
      <c r="BE16" s="126">
        <f t="shared" si="1"/>
        <v>-1.8973998594518593E-2</v>
      </c>
      <c r="BF16" s="126">
        <f t="shared" si="1"/>
        <v>-0.16988522004025466</v>
      </c>
      <c r="BG16" s="126">
        <f t="shared" si="1"/>
        <v>-0.24631945543770767</v>
      </c>
      <c r="BH16" s="126">
        <f t="shared" si="1"/>
        <v>-5.3582059932526073E-3</v>
      </c>
      <c r="BI16" s="126">
        <f t="shared" si="1"/>
        <v>-0.15742913883372447</v>
      </c>
      <c r="BJ16" s="126">
        <f t="shared" si="1"/>
        <v>-0.1825823421774932</v>
      </c>
      <c r="BK16" s="126">
        <f t="shared" si="1"/>
        <v>-6.4349011588275454E-2</v>
      </c>
      <c r="BL16" s="126">
        <f t="shared" si="1"/>
        <v>1.2334801762114588E-2</v>
      </c>
      <c r="BM16" s="126">
        <f t="shared" si="1"/>
        <v>0.10868266454246731</v>
      </c>
      <c r="BN16" s="126">
        <f t="shared" si="1"/>
        <v>-5.4561272682078062E-2</v>
      </c>
      <c r="BO16" s="126">
        <f t="shared" si="1"/>
        <v>0.2750947750123619</v>
      </c>
      <c r="BP16" s="126"/>
      <c r="BQ16" s="126">
        <f t="shared" si="1"/>
        <v>-0.32952691680261004</v>
      </c>
      <c r="BR16" s="126">
        <f t="shared" si="1"/>
        <v>0.23212219393658878</v>
      </c>
      <c r="BS16" s="126">
        <f t="shared" si="1"/>
        <v>0.21587687322802745</v>
      </c>
      <c r="BT16" s="126">
        <f t="shared" si="2"/>
        <v>2.2083658093011173E-3</v>
      </c>
      <c r="BU16" s="126">
        <f t="shared" si="2"/>
        <v>8.4967320261437843E-2</v>
      </c>
      <c r="BV16" s="126">
        <f t="shared" si="2"/>
        <v>7.2765072765072811E-2</v>
      </c>
      <c r="BW16" s="126">
        <f t="shared" si="2"/>
        <v>-5.6601340897369776E-2</v>
      </c>
      <c r="BX16" s="126">
        <f t="shared" si="2"/>
        <v>4.0012804097311139E-3</v>
      </c>
      <c r="BY16" s="126">
        <f t="shared" si="2"/>
        <v>-0.15217391304347827</v>
      </c>
    </row>
    <row r="17" spans="1:77" ht="15.75">
      <c r="A17" s="124">
        <v>44519</v>
      </c>
      <c r="B17" s="119">
        <v>51.06</v>
      </c>
      <c r="D17" s="119">
        <v>431.05</v>
      </c>
      <c r="E17" s="119">
        <v>104.18</v>
      </c>
      <c r="F17" s="119">
        <v>85.42</v>
      </c>
      <c r="G17" s="119">
        <v>32.99</v>
      </c>
      <c r="H17" s="119">
        <v>343.11</v>
      </c>
      <c r="I17" s="119">
        <v>162.88999999999999</v>
      </c>
      <c r="J17" s="119">
        <v>50.8</v>
      </c>
      <c r="K17" s="119">
        <v>136</v>
      </c>
      <c r="M17" s="119">
        <v>109.4</v>
      </c>
      <c r="N17" s="119">
        <v>148.93</v>
      </c>
      <c r="O17" s="119">
        <v>150.22</v>
      </c>
      <c r="P17" s="119">
        <v>58119.58</v>
      </c>
      <c r="Q17" s="119">
        <v>71.83</v>
      </c>
      <c r="R17" s="119">
        <v>57.22</v>
      </c>
      <c r="S17" s="119">
        <v>28.46</v>
      </c>
      <c r="T17" s="119">
        <v>183.83</v>
      </c>
      <c r="U17" s="119">
        <v>379.02</v>
      </c>
      <c r="V17" s="119">
        <v>251.95</v>
      </c>
      <c r="W17" s="119">
        <v>110.78</v>
      </c>
      <c r="X17" s="119">
        <v>174.88</v>
      </c>
      <c r="Y17" s="119">
        <v>733.5</v>
      </c>
      <c r="Z17" s="119">
        <v>45.4</v>
      </c>
      <c r="AA17" s="119">
        <v>200.86</v>
      </c>
      <c r="AB17" s="119">
        <v>160.91999999999999</v>
      </c>
      <c r="AC17" s="119">
        <v>60.67</v>
      </c>
      <c r="AE17" s="119">
        <v>6.13</v>
      </c>
      <c r="AF17" s="119">
        <v>43.21</v>
      </c>
      <c r="AG17" s="119">
        <v>24.69</v>
      </c>
      <c r="AH17" s="119">
        <v>3849</v>
      </c>
      <c r="AI17" s="119">
        <v>3.06</v>
      </c>
      <c r="AJ17" s="119">
        <v>57.72</v>
      </c>
      <c r="AK17" s="119">
        <v>3878</v>
      </c>
      <c r="AL17" s="119">
        <v>6248</v>
      </c>
      <c r="AM17" s="119">
        <v>425.5</v>
      </c>
      <c r="AN17" s="126">
        <f t="shared" si="0"/>
        <v>3.4650455927051689E-2</v>
      </c>
      <c r="AO17" s="126"/>
      <c r="AP17" s="126">
        <f t="shared" si="0"/>
        <v>6.5873741994510487E-2</v>
      </c>
      <c r="AQ17" s="126">
        <f t="shared" si="0"/>
        <v>9.6918007365768555E-3</v>
      </c>
      <c r="AR17" s="126">
        <f t="shared" si="0"/>
        <v>3.9425651009978031E-2</v>
      </c>
      <c r="AS17" s="126">
        <f t="shared" si="0"/>
        <v>0.66616161616161618</v>
      </c>
      <c r="AT17" s="126">
        <f t="shared" si="0"/>
        <v>0.15614785861104571</v>
      </c>
      <c r="AU17" s="126">
        <f t="shared" si="0"/>
        <v>-8.7808702469619804E-2</v>
      </c>
      <c r="AV17" s="126">
        <f t="shared" si="0"/>
        <v>4.0983606557377053E-2</v>
      </c>
      <c r="AW17" s="126">
        <f t="shared" si="0"/>
        <v>0.22280165437870889</v>
      </c>
      <c r="AX17" s="126"/>
      <c r="AY17" s="126">
        <f t="shared" si="0"/>
        <v>-5.8160668847691797E-3</v>
      </c>
      <c r="AZ17" s="126">
        <f t="shared" si="0"/>
        <v>9.765625E-2</v>
      </c>
      <c r="BA17" s="126">
        <f t="shared" si="0"/>
        <v>0.1282012767555388</v>
      </c>
      <c r="BB17" s="126">
        <f t="shared" si="0"/>
        <v>0.24406229945986072</v>
      </c>
      <c r="BC17" s="126">
        <f t="shared" si="0"/>
        <v>6.2102617181724135E-2</v>
      </c>
      <c r="BD17" s="126">
        <f t="shared" si="1"/>
        <v>-1.3788348845225857E-2</v>
      </c>
      <c r="BE17" s="126">
        <f t="shared" si="1"/>
        <v>-2.7673385719166339E-2</v>
      </c>
      <c r="BF17" s="126">
        <f t="shared" si="1"/>
        <v>0.153334588117197</v>
      </c>
      <c r="BG17" s="126">
        <f t="shared" si="1"/>
        <v>0.68836028330883325</v>
      </c>
      <c r="BH17" s="126">
        <f t="shared" si="1"/>
        <v>6.2049487838806219E-2</v>
      </c>
      <c r="BI17" s="126">
        <f t="shared" si="1"/>
        <v>-3.0965710286913858E-2</v>
      </c>
      <c r="BJ17" s="126">
        <f t="shared" si="1"/>
        <v>5.6102421643819025E-2</v>
      </c>
      <c r="BK17" s="126">
        <f t="shared" si="1"/>
        <v>0.19637905725004073</v>
      </c>
      <c r="BL17" s="126">
        <f t="shared" si="1"/>
        <v>0.12963423737248075</v>
      </c>
      <c r="BM17" s="126">
        <f t="shared" si="1"/>
        <v>-0.13261648745519705</v>
      </c>
      <c r="BN17" s="126">
        <f t="shared" si="1"/>
        <v>4.3038631060409553E-2</v>
      </c>
      <c r="BO17" s="126">
        <f t="shared" si="1"/>
        <v>0.15057841835767125</v>
      </c>
      <c r="BP17" s="126"/>
      <c r="BQ17" s="126">
        <f t="shared" si="1"/>
        <v>-0.1128798842257598</v>
      </c>
      <c r="BR17" s="126">
        <f t="shared" si="1"/>
        <v>0.12702138758476778</v>
      </c>
      <c r="BS17" s="126">
        <f t="shared" si="1"/>
        <v>0.23883592574009041</v>
      </c>
      <c r="BT17" s="126">
        <f t="shared" si="2"/>
        <v>-6.304771178188899E-2</v>
      </c>
      <c r="BU17" s="126">
        <f t="shared" si="2"/>
        <v>-3.2573289902279438E-3</v>
      </c>
      <c r="BV17" s="126">
        <f t="shared" si="2"/>
        <v>0.11192448468503184</v>
      </c>
      <c r="BW17" s="126">
        <f t="shared" si="2"/>
        <v>8.7188113260442943E-2</v>
      </c>
      <c r="BX17" s="126">
        <f t="shared" si="2"/>
        <v>0.10721247563352826</v>
      </c>
      <c r="BY17" s="126">
        <f t="shared" si="2"/>
        <v>9.4393004115226303E-2</v>
      </c>
    </row>
    <row r="18" spans="1:77" ht="15.75">
      <c r="A18" s="124">
        <v>44427</v>
      </c>
      <c r="B18" s="119">
        <v>49.35</v>
      </c>
      <c r="D18" s="119">
        <v>404.41</v>
      </c>
      <c r="E18" s="119">
        <v>103.18</v>
      </c>
      <c r="F18" s="119">
        <v>82.18</v>
      </c>
      <c r="G18" s="119">
        <v>19.8</v>
      </c>
      <c r="H18" s="119">
        <v>296.77</v>
      </c>
      <c r="I18" s="119">
        <v>178.57</v>
      </c>
      <c r="J18" s="119">
        <v>48.8</v>
      </c>
      <c r="K18" s="119">
        <v>111.22</v>
      </c>
      <c r="M18" s="119">
        <v>110.04</v>
      </c>
      <c r="N18" s="119">
        <v>135.68</v>
      </c>
      <c r="O18" s="119">
        <v>133.15</v>
      </c>
      <c r="P18" s="119">
        <v>46717.58</v>
      </c>
      <c r="Q18" s="119">
        <v>67.63</v>
      </c>
      <c r="R18" s="119">
        <v>58.02</v>
      </c>
      <c r="S18" s="119">
        <v>29.27</v>
      </c>
      <c r="T18" s="119">
        <v>159.38999999999999</v>
      </c>
      <c r="U18" s="119">
        <v>224.49</v>
      </c>
      <c r="V18" s="119">
        <v>237.23</v>
      </c>
      <c r="W18" s="119">
        <v>114.32</v>
      </c>
      <c r="X18" s="119">
        <v>165.59</v>
      </c>
      <c r="Y18" s="119">
        <v>613.1</v>
      </c>
      <c r="Z18" s="119">
        <v>40.19</v>
      </c>
      <c r="AA18" s="119">
        <v>231.57</v>
      </c>
      <c r="AB18" s="119">
        <v>154.28</v>
      </c>
      <c r="AC18" s="119">
        <v>52.73</v>
      </c>
      <c r="AE18" s="119">
        <v>6.91</v>
      </c>
      <c r="AF18" s="119">
        <v>38.340000000000003</v>
      </c>
      <c r="AG18" s="119">
        <v>19.93</v>
      </c>
      <c r="AH18" s="119">
        <v>4108</v>
      </c>
      <c r="AI18" s="119">
        <v>3.07</v>
      </c>
      <c r="AJ18" s="119">
        <v>51.91</v>
      </c>
      <c r="AK18" s="119">
        <v>3567</v>
      </c>
      <c r="AL18" s="119">
        <v>5643</v>
      </c>
      <c r="AM18" s="119">
        <v>388.8</v>
      </c>
      <c r="AN18" s="126">
        <f t="shared" si="0"/>
        <v>-5.8924485125858059E-2</v>
      </c>
      <c r="AO18" s="126"/>
      <c r="AP18" s="126">
        <f t="shared" si="0"/>
        <v>7.0632462340825472E-2</v>
      </c>
      <c r="AQ18" s="126">
        <f t="shared" si="0"/>
        <v>-9.313490158425336E-3</v>
      </c>
      <c r="AR18" s="126">
        <f t="shared" si="0"/>
        <v>-1.700680272108678E-3</v>
      </c>
      <c r="AS18" s="126">
        <f t="shared" si="0"/>
        <v>0.40724946695095954</v>
      </c>
      <c r="AT18" s="126">
        <f t="shared" si="0"/>
        <v>0.22067291872326414</v>
      </c>
      <c r="AU18" s="126">
        <f t="shared" si="0"/>
        <v>4.9917685794919918E-2</v>
      </c>
      <c r="AV18" s="126">
        <f t="shared" si="0"/>
        <v>0.22520713030379108</v>
      </c>
      <c r="AW18" s="126">
        <f t="shared" si="0"/>
        <v>7.6044891640866863E-2</v>
      </c>
      <c r="AX18" s="126"/>
      <c r="AY18" s="126">
        <f t="shared" si="0"/>
        <v>0.15758468335787928</v>
      </c>
      <c r="AZ18" s="126">
        <f t="shared" si="0"/>
        <v>0.19468169410936001</v>
      </c>
      <c r="BA18" s="126">
        <f t="shared" si="0"/>
        <v>0.15431296055483323</v>
      </c>
      <c r="BB18" s="126">
        <f t="shared" si="0"/>
        <v>0.26255403697702095</v>
      </c>
      <c r="BC18" s="126">
        <f t="shared" si="0"/>
        <v>0.48670037370850722</v>
      </c>
      <c r="BD18" s="126">
        <f t="shared" si="1"/>
        <v>2.563196040304053E-2</v>
      </c>
      <c r="BE18" s="126">
        <f t="shared" si="1"/>
        <v>-4.5958279009126475E-2</v>
      </c>
      <c r="BF18" s="126">
        <f t="shared" si="1"/>
        <v>-1.3614703880190711E-2</v>
      </c>
      <c r="BG18" s="126">
        <f t="shared" si="1"/>
        <v>0.19524012352252165</v>
      </c>
      <c r="BH18" s="126">
        <f t="shared" si="1"/>
        <v>3.0762546165544139E-2</v>
      </c>
      <c r="BI18" s="126">
        <f t="shared" si="1"/>
        <v>4.2399927053888863E-2</v>
      </c>
      <c r="BJ18" s="126">
        <f t="shared" si="1"/>
        <v>0.24541215403128755</v>
      </c>
      <c r="BK18" s="126">
        <f t="shared" si="1"/>
        <v>-9.6914876433532547E-3</v>
      </c>
      <c r="BL18" s="126">
        <f t="shared" si="1"/>
        <v>-4.2411246128186829E-2</v>
      </c>
      <c r="BM18" s="126">
        <f t="shared" si="1"/>
        <v>3.107885480208375E-2</v>
      </c>
      <c r="BN18" s="126">
        <f t="shared" si="1"/>
        <v>-4.2393395816522947E-2</v>
      </c>
      <c r="BO18" s="126">
        <f t="shared" si="1"/>
        <v>-0.10596812478806375</v>
      </c>
      <c r="BP18" s="126"/>
      <c r="BQ18" s="126">
        <f t="shared" si="1"/>
        <v>-0.12198221092757305</v>
      </c>
      <c r="BR18" s="126">
        <f t="shared" si="1"/>
        <v>-2.3930753564154729E-2</v>
      </c>
      <c r="BS18" s="126">
        <f t="shared" si="1"/>
        <v>-6.7384183434721634E-2</v>
      </c>
      <c r="BT18" s="126">
        <f t="shared" si="2"/>
        <v>-4.0523181128109306E-2</v>
      </c>
      <c r="BU18" s="126">
        <f t="shared" si="2"/>
        <v>-6.6869300911854168E-2</v>
      </c>
      <c r="BV18" s="126">
        <f t="shared" si="2"/>
        <v>-7.2041473006793019E-2</v>
      </c>
      <c r="BW18" s="126">
        <f t="shared" si="2"/>
        <v>6.5730504929787867E-2</v>
      </c>
      <c r="BX18" s="126">
        <f t="shared" si="2"/>
        <v>-0.11049810844892811</v>
      </c>
      <c r="BY18" s="126">
        <f t="shared" si="2"/>
        <v>0.11038126517206921</v>
      </c>
    </row>
    <row r="19" spans="1:77" ht="15.75">
      <c r="A19" s="124">
        <v>44335</v>
      </c>
      <c r="B19" s="119">
        <v>52.44</v>
      </c>
      <c r="D19" s="119">
        <v>377.73</v>
      </c>
      <c r="E19" s="119">
        <v>104.15</v>
      </c>
      <c r="F19" s="119">
        <v>82.32</v>
      </c>
      <c r="G19" s="119">
        <v>14.07</v>
      </c>
      <c r="H19" s="119">
        <v>243.12</v>
      </c>
      <c r="I19" s="119">
        <v>170.08</v>
      </c>
      <c r="J19" s="119">
        <v>39.83</v>
      </c>
      <c r="K19" s="119">
        <v>103.36</v>
      </c>
      <c r="M19" s="119">
        <v>95.06</v>
      </c>
      <c r="N19" s="119">
        <v>113.57</v>
      </c>
      <c r="O19" s="119">
        <v>115.35</v>
      </c>
      <c r="P19" s="119">
        <v>37002.44</v>
      </c>
      <c r="Q19" s="119">
        <v>45.49</v>
      </c>
      <c r="R19" s="119">
        <v>56.57</v>
      </c>
      <c r="S19" s="119">
        <v>30.68</v>
      </c>
      <c r="T19" s="119">
        <v>161.59</v>
      </c>
      <c r="U19" s="119">
        <v>187.82</v>
      </c>
      <c r="V19" s="119">
        <v>230.15</v>
      </c>
      <c r="W19" s="119">
        <v>109.67</v>
      </c>
      <c r="X19" s="119">
        <v>132.96</v>
      </c>
      <c r="Y19" s="119">
        <v>619.1</v>
      </c>
      <c r="Z19" s="119">
        <v>41.97</v>
      </c>
      <c r="AA19" s="119">
        <v>224.59</v>
      </c>
      <c r="AB19" s="119">
        <v>161.11000000000001</v>
      </c>
      <c r="AC19" s="119">
        <v>58.98</v>
      </c>
      <c r="AE19" s="119">
        <v>7.87</v>
      </c>
      <c r="AF19" s="119">
        <v>39.28</v>
      </c>
      <c r="AG19" s="119">
        <v>21.37</v>
      </c>
      <c r="AH19" s="119">
        <v>4281.5</v>
      </c>
      <c r="AI19" s="119">
        <v>3.29</v>
      </c>
      <c r="AJ19" s="119">
        <v>55.94</v>
      </c>
      <c r="AK19" s="119">
        <v>3347</v>
      </c>
      <c r="AL19" s="119">
        <v>6344</v>
      </c>
      <c r="AM19" s="119">
        <v>350.15</v>
      </c>
      <c r="AN19" s="126">
        <f t="shared" ref="AN19" si="3">(B19-B20)/B20</f>
        <v>-6.4573671066714314E-2</v>
      </c>
      <c r="AO19" s="126"/>
      <c r="AP19" s="126">
        <f t="shared" ref="AP19:AW19" si="4">(D19-D20)/D20</f>
        <v>5.3375721576173471E-2</v>
      </c>
      <c r="AQ19" s="126">
        <f t="shared" si="4"/>
        <v>5.1913948086051917E-2</v>
      </c>
      <c r="AR19" s="126">
        <f t="shared" si="4"/>
        <v>-2.0699500356888046E-2</v>
      </c>
      <c r="AS19" s="126">
        <f t="shared" si="4"/>
        <v>-5.7602143335565938E-2</v>
      </c>
      <c r="AT19" s="126">
        <f t="shared" si="4"/>
        <v>8.9222724820517321E-3</v>
      </c>
      <c r="AU19" s="126">
        <f t="shared" si="4"/>
        <v>4.3563627438949704E-2</v>
      </c>
      <c r="AV19" s="126">
        <f t="shared" si="4"/>
        <v>0.15650406504065043</v>
      </c>
      <c r="AW19" s="126">
        <f t="shared" si="4"/>
        <v>4.7638353942834007E-2</v>
      </c>
      <c r="AX19" s="126"/>
      <c r="AY19" s="126">
        <f t="shared" ref="AY19:BN19" si="5">(M19-M20)/M20</f>
        <v>3.5850495804729286E-2</v>
      </c>
      <c r="AZ19" s="126">
        <f t="shared" si="5"/>
        <v>8.7418613558023703E-2</v>
      </c>
      <c r="BA19" s="126">
        <f t="shared" si="5"/>
        <v>9.5441595441595417E-2</v>
      </c>
      <c r="BB19" s="126">
        <f t="shared" si="5"/>
        <v>-0.33791951886742311</v>
      </c>
      <c r="BC19" s="126">
        <f t="shared" si="5"/>
        <v>-0.52796513437791848</v>
      </c>
      <c r="BD19" s="126">
        <f t="shared" si="5"/>
        <v>-1.4116416869989582E-2</v>
      </c>
      <c r="BE19" s="126">
        <f t="shared" si="5"/>
        <v>9.7281831187410545E-2</v>
      </c>
      <c r="BF19" s="126">
        <f t="shared" si="5"/>
        <v>-5.5388023878392865E-3</v>
      </c>
      <c r="BG19" s="126">
        <f t="shared" si="5"/>
        <v>-0.27880812502399882</v>
      </c>
      <c r="BH19" s="126">
        <f t="shared" si="5"/>
        <v>8.438560120618166E-2</v>
      </c>
      <c r="BI19" s="126">
        <f t="shared" si="5"/>
        <v>6.0946115894360033E-2</v>
      </c>
      <c r="BJ19" s="126">
        <f t="shared" si="5"/>
        <v>-6.3793831854668373E-2</v>
      </c>
      <c r="BK19" s="126">
        <f t="shared" si="5"/>
        <v>0.14267257290513119</v>
      </c>
      <c r="BL19" s="126">
        <f t="shared" si="5"/>
        <v>0.21511291256514187</v>
      </c>
      <c r="BM19" s="126">
        <f t="shared" si="5"/>
        <v>9.7005812533580885E-2</v>
      </c>
      <c r="BN19" s="126">
        <f t="shared" si="5"/>
        <v>8.8433995406026228E-2</v>
      </c>
      <c r="BO19" s="126">
        <f t="shared" ref="BO19" si="6">(AC19-AC20)/AC20</f>
        <v>0.12621729998090508</v>
      </c>
      <c r="BP19" s="126"/>
      <c r="BQ19" s="126">
        <f t="shared" ref="BQ19:BY19" si="7">(AE19-AE20)/AE20</f>
        <v>0.38312829525483294</v>
      </c>
      <c r="BR19" s="126">
        <f t="shared" si="7"/>
        <v>-6.8268015170669036E-3</v>
      </c>
      <c r="BS19" s="126">
        <f t="shared" si="7"/>
        <v>0.19452207937395194</v>
      </c>
      <c r="BT19" s="126">
        <f t="shared" si="7"/>
        <v>9.641485275288092E-2</v>
      </c>
      <c r="BU19" s="126">
        <f t="shared" si="7"/>
        <v>0.10402684563758391</v>
      </c>
      <c r="BV19" s="126">
        <f t="shared" si="7"/>
        <v>0.15745913511276638</v>
      </c>
      <c r="BW19" s="126">
        <f t="shared" si="7"/>
        <v>0.11696979809778074</v>
      </c>
      <c r="BX19" s="126">
        <f t="shared" si="7"/>
        <v>4.4795783926218712E-2</v>
      </c>
      <c r="BY19" s="126">
        <f t="shared" si="7"/>
        <v>0.10771907624169551</v>
      </c>
    </row>
    <row r="20" spans="1:77" ht="15.75">
      <c r="A20" s="124">
        <v>44246</v>
      </c>
      <c r="B20" s="119">
        <v>56.06</v>
      </c>
      <c r="D20" s="119">
        <v>358.59</v>
      </c>
      <c r="E20" s="119">
        <v>99.01</v>
      </c>
      <c r="F20" s="119">
        <v>84.06</v>
      </c>
      <c r="G20" s="119">
        <v>14.93</v>
      </c>
      <c r="H20" s="119">
        <v>240.97</v>
      </c>
      <c r="I20" s="119">
        <v>162.97999999999999</v>
      </c>
      <c r="J20" s="119">
        <v>34.44</v>
      </c>
      <c r="K20" s="119">
        <v>98.66</v>
      </c>
      <c r="M20" s="119">
        <v>91.77</v>
      </c>
      <c r="N20" s="119">
        <v>104.44</v>
      </c>
      <c r="O20" s="119">
        <v>105.3</v>
      </c>
      <c r="P20" s="119">
        <v>55888.13</v>
      </c>
      <c r="Q20" s="119">
        <v>96.37</v>
      </c>
      <c r="R20" s="119">
        <v>57.38</v>
      </c>
      <c r="S20" s="119">
        <v>27.96</v>
      </c>
      <c r="T20" s="119">
        <v>162.49</v>
      </c>
      <c r="U20" s="119">
        <v>260.43</v>
      </c>
      <c r="V20" s="119">
        <v>212.24</v>
      </c>
      <c r="W20" s="119">
        <v>103.37</v>
      </c>
      <c r="X20" s="119">
        <v>142.02000000000001</v>
      </c>
      <c r="Y20" s="119">
        <v>541.79999999999995</v>
      </c>
      <c r="Z20" s="119">
        <v>34.54</v>
      </c>
      <c r="AA20" s="119">
        <v>204.73</v>
      </c>
      <c r="AB20" s="119">
        <v>148.02000000000001</v>
      </c>
      <c r="AC20" s="119">
        <v>52.37</v>
      </c>
      <c r="AE20" s="119">
        <v>5.69</v>
      </c>
      <c r="AF20" s="119">
        <v>39.549999999999997</v>
      </c>
      <c r="AG20" s="119">
        <v>17.89</v>
      </c>
      <c r="AH20" s="119">
        <v>3905</v>
      </c>
      <c r="AI20" s="119">
        <v>2.98</v>
      </c>
      <c r="AJ20" s="119">
        <v>48.33</v>
      </c>
      <c r="AK20" s="119">
        <v>2996.5</v>
      </c>
      <c r="AL20" s="119">
        <v>6072</v>
      </c>
      <c r="AM20" s="119">
        <v>316.10000000000002</v>
      </c>
      <c r="BG20" s="126"/>
      <c r="BH20" s="126"/>
      <c r="BI20" s="126"/>
      <c r="BJ20" s="126"/>
      <c r="BK20" s="126"/>
      <c r="BL20" s="126"/>
      <c r="BM20" s="126"/>
      <c r="BN20" s="126"/>
      <c r="BO20" s="126"/>
      <c r="BP20" s="126"/>
      <c r="BQ20" s="126"/>
      <c r="BR20" s="126"/>
      <c r="BS20" s="126"/>
      <c r="BY20" s="156"/>
    </row>
    <row r="21" spans="1:77" ht="15.75">
      <c r="BY21" s="156"/>
    </row>
    <row r="22" spans="1:77" ht="15.75">
      <c r="A22" s="119" t="s">
        <v>103</v>
      </c>
      <c r="B22" s="125">
        <f>AVERAGE(B3:B20)</f>
        <v>45.144444444444439</v>
      </c>
      <c r="C22" s="125">
        <f t="shared" ref="C22:AM22" si="8">AVERAGE(C3:C20)</f>
        <v>11.362499999999999</v>
      </c>
      <c r="D22" s="125">
        <f t="shared" si="8"/>
        <v>431.58666666666676</v>
      </c>
      <c r="E22" s="125">
        <f t="shared" si="8"/>
        <v>120.64166666666668</v>
      </c>
      <c r="F22" s="125">
        <f t="shared" si="8"/>
        <v>375.81111111111119</v>
      </c>
      <c r="G22" s="125">
        <f t="shared" si="8"/>
        <v>56.548333333333325</v>
      </c>
      <c r="H22" s="125">
        <f>AVERAGE(H3:H20)</f>
        <v>332.90944444444449</v>
      </c>
      <c r="I22" s="125">
        <f t="shared" si="8"/>
        <v>162.95055555555555</v>
      </c>
      <c r="J22" s="125">
        <f>AVERAGE(J3:J20)</f>
        <v>37.557777777777773</v>
      </c>
      <c r="K22" s="125">
        <f t="shared" si="8"/>
        <v>265.08</v>
      </c>
      <c r="L22" s="125">
        <f t="shared" si="8"/>
        <v>34.346666666666664</v>
      </c>
      <c r="M22" s="125">
        <f t="shared" si="8"/>
        <v>126.23722222222224</v>
      </c>
      <c r="N22" s="125">
        <f t="shared" si="8"/>
        <v>136.17222222222222</v>
      </c>
      <c r="O22" s="125">
        <f>AVERAGE(O3:O20)</f>
        <v>122.88055555555555</v>
      </c>
      <c r="P22" s="125">
        <f t="shared" si="8"/>
        <v>49588.355000000003</v>
      </c>
      <c r="Q22" s="125">
        <f t="shared" si="8"/>
        <v>114.07888888888887</v>
      </c>
      <c r="R22" s="125">
        <f t="shared" si="8"/>
        <v>51.181666666666672</v>
      </c>
      <c r="S22" s="125">
        <f t="shared" si="8"/>
        <v>30.638888888888889</v>
      </c>
      <c r="T22" s="125">
        <f t="shared" si="8"/>
        <v>156.73722222222224</v>
      </c>
      <c r="U22" s="125">
        <f t="shared" si="8"/>
        <v>252.0983333333333</v>
      </c>
      <c r="V22" s="125">
        <f t="shared" si="8"/>
        <v>268.89166666666665</v>
      </c>
      <c r="W22" s="125">
        <f t="shared" si="8"/>
        <v>97.917222222222236</v>
      </c>
      <c r="X22" s="125">
        <f t="shared" si="8"/>
        <v>112.52944444444444</v>
      </c>
      <c r="Y22" s="125">
        <f t="shared" si="8"/>
        <v>688.13333333333321</v>
      </c>
      <c r="Z22" s="125">
        <f t="shared" si="8"/>
        <v>38.220555555555556</v>
      </c>
      <c r="AA22" s="125">
        <f t="shared" si="8"/>
        <v>250.45611111111111</v>
      </c>
      <c r="AB22" s="125">
        <f t="shared" si="8"/>
        <v>173.16388888888889</v>
      </c>
      <c r="AC22" s="125">
        <f t="shared" si="8"/>
        <v>94.958333333333314</v>
      </c>
      <c r="AD22" s="125">
        <f t="shared" si="8"/>
        <v>12.941428571428572</v>
      </c>
      <c r="AE22" s="125">
        <f t="shared" si="8"/>
        <v>5.2394444444444446</v>
      </c>
      <c r="AF22" s="125">
        <f t="shared" si="8"/>
        <v>57.642222222222216</v>
      </c>
      <c r="AG22" s="125">
        <f t="shared" si="8"/>
        <v>27.393888888888885</v>
      </c>
      <c r="AH22" s="125">
        <f t="shared" si="8"/>
        <v>4139.25</v>
      </c>
      <c r="AI22" s="125">
        <f t="shared" si="8"/>
        <v>3.7644444444444454</v>
      </c>
      <c r="AJ22" s="125">
        <f t="shared" si="8"/>
        <v>59.189444444444433</v>
      </c>
      <c r="AK22" s="125">
        <f t="shared" si="8"/>
        <v>3147.8333333333335</v>
      </c>
      <c r="AL22" s="125">
        <f t="shared" si="8"/>
        <v>5672.1111111111113</v>
      </c>
      <c r="AM22" s="125">
        <f t="shared" si="8"/>
        <v>377.64444444444439</v>
      </c>
      <c r="AN22" s="126">
        <f>AVERAGE(AN3:AN19)</f>
        <v>-7.6422738817543759E-3</v>
      </c>
      <c r="AO22" s="126">
        <f t="shared" ref="AO22:BY22" si="9">AVERAGE(AO3:AO19)</f>
        <v>0.12073305268808263</v>
      </c>
      <c r="AP22" s="126">
        <f t="shared" si="9"/>
        <v>2.678622526644938E-2</v>
      </c>
      <c r="AQ22" s="126">
        <f t="shared" si="9"/>
        <v>3.4623335840976856E-2</v>
      </c>
      <c r="AR22" s="126">
        <f t="shared" si="9"/>
        <v>0.22991347547969021</v>
      </c>
      <c r="AS22" s="126">
        <f t="shared" si="9"/>
        <v>0.17309875133510672</v>
      </c>
      <c r="AT22" s="126">
        <f t="shared" si="9"/>
        <v>4.5264912711498385E-2</v>
      </c>
      <c r="AU22" s="126">
        <f t="shared" si="9"/>
        <v>-2.1339191475571008E-3</v>
      </c>
      <c r="AV22" s="126">
        <f t="shared" si="9"/>
        <v>-1.8210942002704997E-2</v>
      </c>
      <c r="AW22" s="126">
        <f t="shared" si="9"/>
        <v>0.14805585216578757</v>
      </c>
      <c r="AX22" s="126">
        <f t="shared" si="9"/>
        <v>0.50438805949189813</v>
      </c>
      <c r="AY22" s="126">
        <f t="shared" si="9"/>
        <v>3.7322204853936836E-2</v>
      </c>
      <c r="AZ22" s="126">
        <f t="shared" si="9"/>
        <v>3.5890294082484508E-2</v>
      </c>
      <c r="BA22" s="126">
        <f t="shared" si="9"/>
        <v>9.7535458216543199E-3</v>
      </c>
      <c r="BB22" s="126">
        <f t="shared" si="9"/>
        <v>7.7766047889923279E-2</v>
      </c>
      <c r="BC22" s="126">
        <f t="shared" si="9"/>
        <v>0.24430049825068706</v>
      </c>
      <c r="BD22" s="126">
        <f t="shared" si="9"/>
        <v>-8.8170114542577751E-3</v>
      </c>
      <c r="BE22" s="126">
        <f t="shared" si="9"/>
        <v>1.0325878628362544E-2</v>
      </c>
      <c r="BF22" s="126">
        <f t="shared" si="9"/>
        <v>2.8727021440498438E-2</v>
      </c>
      <c r="BG22" s="126">
        <f t="shared" si="9"/>
        <v>5.2524330755124637E-2</v>
      </c>
      <c r="BH22" s="126">
        <f t="shared" si="9"/>
        <v>2.6515481967157563E-2</v>
      </c>
      <c r="BI22" s="126">
        <f t="shared" si="9"/>
        <v>-1.6491255719442363E-3</v>
      </c>
      <c r="BJ22" s="126">
        <f t="shared" si="9"/>
        <v>-3.9532689617590044E-2</v>
      </c>
      <c r="BK22" s="126">
        <f t="shared" si="9"/>
        <v>6.4714438357398058E-3</v>
      </c>
      <c r="BL22" s="126">
        <f t="shared" si="9"/>
        <v>2.2772895524947625E-2</v>
      </c>
      <c r="BM22" s="126">
        <f t="shared" si="9"/>
        <v>3.8237113860664668E-2</v>
      </c>
      <c r="BN22" s="126">
        <f t="shared" si="9"/>
        <v>3.9619965434957459E-2</v>
      </c>
      <c r="BO22" s="126">
        <f t="shared" si="9"/>
        <v>4.7828137628551634E-2</v>
      </c>
      <c r="BP22" s="126">
        <f>AVERAGE(BP3:BP15)</f>
        <v>-1.4714421358071912E-2</v>
      </c>
      <c r="BQ22" s="126">
        <f t="shared" si="9"/>
        <v>2.9388247912751398E-2</v>
      </c>
      <c r="BR22" s="126">
        <f t="shared" si="9"/>
        <v>3.4414419525309672E-2</v>
      </c>
      <c r="BS22" s="126">
        <f t="shared" si="9"/>
        <v>2.3920745293421378E-2</v>
      </c>
      <c r="BT22" s="126">
        <f t="shared" si="9"/>
        <v>1.2681749962870255E-2</v>
      </c>
      <c r="BU22" s="126">
        <f t="shared" si="9"/>
        <v>6.0824725131172284E-2</v>
      </c>
      <c r="BV22" s="126">
        <f t="shared" si="9"/>
        <v>3.6266778566480445E-2</v>
      </c>
      <c r="BW22" s="126">
        <f t="shared" si="9"/>
        <v>-1.6889813696454471E-2</v>
      </c>
      <c r="BX22" s="126">
        <f t="shared" si="9"/>
        <v>-7.9191106355397112E-3</v>
      </c>
      <c r="BY22" s="126">
        <f t="shared" si="9"/>
        <v>1.6653461487985719E-2</v>
      </c>
    </row>
    <row r="23" spans="1:77" ht="15.75">
      <c r="BY23" s="156"/>
    </row>
    <row r="24" spans="1:77" ht="15.75">
      <c r="AN24" s="127">
        <f>D28*SUMPRODUCT($C$29:$C$66,D29:D66)</f>
        <v>4.7266447304994501E-5</v>
      </c>
      <c r="AO24" s="127">
        <f t="shared" ref="AO24:AV24" si="10">F28*SUMPRODUCT($C$29:$C$60,E29:E60)</f>
        <v>1.4461255029220692E-4</v>
      </c>
      <c r="AP24" s="127">
        <f t="shared" si="10"/>
        <v>3.2134570053264508E-5</v>
      </c>
      <c r="AQ24" s="127">
        <f t="shared" si="10"/>
        <v>5.1165409825035537E-5</v>
      </c>
      <c r="AR24" s="127">
        <f t="shared" si="10"/>
        <v>0</v>
      </c>
      <c r="AS24" s="127">
        <f t="shared" si="10"/>
        <v>0</v>
      </c>
      <c r="AT24" s="127">
        <f t="shared" si="10"/>
        <v>0</v>
      </c>
      <c r="AU24" s="127">
        <f t="shared" si="10"/>
        <v>0</v>
      </c>
      <c r="AV24" s="127">
        <f t="shared" si="10"/>
        <v>-3.5034462663977297E-5</v>
      </c>
      <c r="AW24" s="127">
        <f>O28*SUMPRODUCT($C$29:$C$60,M29:M60)</f>
        <v>0</v>
      </c>
      <c r="AX24" s="127">
        <f>P28*SUMPRODUCT($C$29:$C$60,N29:N60)</f>
        <v>1.8610672147928442E-4</v>
      </c>
      <c r="AY24" s="127">
        <f>Q28*SUMPRODUCT($C$29:$C$60,O29:O60)</f>
        <v>3.2215218888712463E-5</v>
      </c>
      <c r="AZ24" s="127">
        <f>R28*SUMPRODUCT($C$29:$C$60,P29:P60)</f>
        <v>8.5250930808030776E-5</v>
      </c>
      <c r="BA24" s="127">
        <f t="shared" ref="BA24:BL24" si="11">T28*SUMPRODUCT($C$29:$C$60,Q29:Q60)</f>
        <v>3.3988830459082239E-4</v>
      </c>
      <c r="BB24" s="127">
        <f t="shared" si="11"/>
        <v>1.6954101046540781E-4</v>
      </c>
      <c r="BC24" s="127">
        <f t="shared" si="11"/>
        <v>0</v>
      </c>
      <c r="BD24" s="127">
        <f t="shared" si="11"/>
        <v>2.2654403614655756E-6</v>
      </c>
      <c r="BE24" s="127">
        <f t="shared" si="11"/>
        <v>0</v>
      </c>
      <c r="BF24" s="127">
        <f t="shared" si="11"/>
        <v>1.5692031118637114E-4</v>
      </c>
      <c r="BG24" s="127">
        <f t="shared" si="11"/>
        <v>2.8987925151700551E-4</v>
      </c>
      <c r="BH24" s="127">
        <f t="shared" si="11"/>
        <v>0</v>
      </c>
      <c r="BI24" s="127">
        <f t="shared" si="11"/>
        <v>2.0624081394783597E-5</v>
      </c>
      <c r="BJ24" s="127">
        <f t="shared" si="11"/>
        <v>8.6093854611755011E-5</v>
      </c>
      <c r="BK24" s="127">
        <f t="shared" si="11"/>
        <v>0</v>
      </c>
      <c r="BL24" s="127">
        <f t="shared" si="11"/>
        <v>1.0486027136637186E-4</v>
      </c>
      <c r="BM24" s="127">
        <f t="shared" ref="BM24:BS24" si="12">AG28*SUMPRODUCT($C$29:$C$60,AC29:AC60)</f>
        <v>3.2265576158090082E-6</v>
      </c>
      <c r="BN24" s="127">
        <f t="shared" si="12"/>
        <v>0</v>
      </c>
      <c r="BO24" s="127">
        <f t="shared" si="12"/>
        <v>-4.2130947522903798E-5</v>
      </c>
      <c r="BP24" s="127">
        <f t="shared" si="12"/>
        <v>-4.1102122403875756E-6</v>
      </c>
      <c r="BQ24" s="127">
        <f t="shared" si="12"/>
        <v>0</v>
      </c>
      <c r="BR24" s="127">
        <f t="shared" si="12"/>
        <v>-8.9759254818859717E-5</v>
      </c>
      <c r="BS24" s="127">
        <f t="shared" si="12"/>
        <v>-3.8538274157878185E-5</v>
      </c>
      <c r="BT24" s="127">
        <f t="shared" ref="BT24:BY24" si="13">AP28*SUMPRODUCT($C$29:$C$60,AP29:AP60)</f>
        <v>0</v>
      </c>
      <c r="BU24" s="127" t="e">
        <f t="shared" si="13"/>
        <v>#VALUE!</v>
      </c>
      <c r="BV24" s="127">
        <f t="shared" si="13"/>
        <v>0</v>
      </c>
      <c r="BW24" s="127">
        <f t="shared" si="13"/>
        <v>0</v>
      </c>
      <c r="BX24" s="127">
        <f t="shared" si="13"/>
        <v>1.514503990527675E-2</v>
      </c>
      <c r="BY24" s="127">
        <f t="shared" si="13"/>
        <v>0</v>
      </c>
    </row>
    <row r="25" spans="1:77" ht="15.75">
      <c r="A25" s="128"/>
      <c r="B25" s="129" t="s">
        <v>104</v>
      </c>
      <c r="C25" s="130"/>
      <c r="D25" s="130"/>
      <c r="E25" s="130"/>
      <c r="F25" s="128"/>
    </row>
    <row r="26" spans="1:77" ht="15.75" thickBot="1">
      <c r="A26" s="128"/>
      <c r="B26" s="128"/>
      <c r="C26" s="128"/>
      <c r="D26" s="128"/>
      <c r="E26" s="128"/>
      <c r="F26" s="128"/>
    </row>
    <row r="27" spans="1:77" ht="15.75" thickBot="1">
      <c r="A27" s="128"/>
      <c r="B27" s="131"/>
      <c r="C27" s="132"/>
      <c r="D27" s="119" t="s">
        <v>63</v>
      </c>
      <c r="E27" s="119" t="s">
        <v>66</v>
      </c>
      <c r="F27" s="119" t="s">
        <v>10</v>
      </c>
      <c r="G27" s="119" t="s">
        <v>26</v>
      </c>
      <c r="H27" s="119" t="s">
        <v>29</v>
      </c>
      <c r="I27" s="119" t="s">
        <v>89</v>
      </c>
      <c r="J27" s="119" t="s">
        <v>90</v>
      </c>
      <c r="K27" s="119" t="s">
        <v>91</v>
      </c>
      <c r="L27" s="119" t="s">
        <v>92</v>
      </c>
      <c r="M27" s="119" t="s">
        <v>31</v>
      </c>
      <c r="N27" s="119" t="s">
        <v>93</v>
      </c>
      <c r="O27" s="119" t="s">
        <v>102</v>
      </c>
      <c r="P27" s="119" t="s">
        <v>46</v>
      </c>
      <c r="Q27" s="119" t="s">
        <v>33</v>
      </c>
      <c r="R27" s="119" t="s">
        <v>24</v>
      </c>
      <c r="S27" s="119" t="s">
        <v>95</v>
      </c>
      <c r="T27" s="119" t="s">
        <v>39</v>
      </c>
      <c r="U27" s="119" t="s">
        <v>35</v>
      </c>
      <c r="V27" s="119" t="s">
        <v>96</v>
      </c>
      <c r="W27" s="119" t="s">
        <v>48</v>
      </c>
      <c r="X27" s="119" t="s">
        <v>97</v>
      </c>
      <c r="Y27" s="119" t="s">
        <v>51</v>
      </c>
      <c r="Z27" s="119" t="s">
        <v>53</v>
      </c>
      <c r="AA27" s="119" t="s">
        <v>98</v>
      </c>
      <c r="AB27" s="119" t="s">
        <v>68</v>
      </c>
      <c r="AC27" s="119" t="s">
        <v>71</v>
      </c>
      <c r="AD27" s="119" t="s">
        <v>99</v>
      </c>
      <c r="AE27" s="119" t="s">
        <v>56</v>
      </c>
      <c r="AF27" s="119" t="s">
        <v>100</v>
      </c>
      <c r="AG27" s="119" t="s">
        <v>59</v>
      </c>
      <c r="AH27" s="119" t="s">
        <v>101</v>
      </c>
      <c r="AI27" s="119" t="s">
        <v>61</v>
      </c>
      <c r="AJ27" s="119" t="s">
        <v>176</v>
      </c>
      <c r="AK27" s="119" t="s">
        <v>177</v>
      </c>
      <c r="AL27" s="119" t="s">
        <v>178</v>
      </c>
      <c r="AM27" s="119" t="s">
        <v>179</v>
      </c>
      <c r="AN27" s="119" t="s">
        <v>180</v>
      </c>
      <c r="AO27" s="119" t="s">
        <v>181</v>
      </c>
      <c r="AQ27" s="128"/>
      <c r="AR27" s="128"/>
      <c r="AS27" s="128"/>
      <c r="AT27" s="128"/>
      <c r="AU27" s="128"/>
    </row>
    <row r="28" spans="1:77" ht="15.75">
      <c r="A28" s="128"/>
      <c r="B28" s="133"/>
      <c r="C28" s="134" t="s">
        <v>105</v>
      </c>
      <c r="D28" s="119">
        <f>AS45</f>
        <v>3.1860549721581859E-2</v>
      </c>
      <c r="E28" s="119">
        <f>AS46</f>
        <v>2.2190732545245388E-2</v>
      </c>
      <c r="F28" s="119">
        <f>AS48</f>
        <v>0.20683303755262122</v>
      </c>
      <c r="G28" s="119">
        <f>AS47</f>
        <v>2.111674218400467E-2</v>
      </c>
      <c r="H28" s="119">
        <f>AS55</f>
        <v>5.5215456421473366E-2</v>
      </c>
      <c r="I28" s="119">
        <v>0</v>
      </c>
      <c r="J28" s="119">
        <v>0</v>
      </c>
      <c r="K28" s="119">
        <v>0</v>
      </c>
      <c r="L28" s="119">
        <v>0</v>
      </c>
      <c r="M28" s="119">
        <f>AS56</f>
        <v>5.398803802287129E-2</v>
      </c>
      <c r="N28" s="119">
        <v>0</v>
      </c>
      <c r="O28" s="119">
        <v>0</v>
      </c>
      <c r="P28" s="119">
        <f>AS37</f>
        <v>2.2132790076932803E-2</v>
      </c>
      <c r="Q28" s="119">
        <f>AS57</f>
        <v>3.329226291024176E-2</v>
      </c>
      <c r="R28" s="119">
        <f>AS41</f>
        <v>4.4386581287160928E-2</v>
      </c>
      <c r="S28" s="119">
        <v>0</v>
      </c>
      <c r="T28" s="119">
        <f>AS36</f>
        <v>0.16230466159389106</v>
      </c>
      <c r="U28" s="119">
        <f>AS58</f>
        <v>2.1293446165383475E-2</v>
      </c>
      <c r="V28" s="119">
        <v>0</v>
      </c>
      <c r="W28" s="119">
        <f>AS38</f>
        <v>1.619872108366466E-3</v>
      </c>
      <c r="X28" s="119">
        <v>0</v>
      </c>
      <c r="Y28" s="119">
        <f>AS39</f>
        <v>4.3660266282770303E-2</v>
      </c>
      <c r="Z28" s="119">
        <f>AS40</f>
        <v>3.531562623190198E-2</v>
      </c>
      <c r="AA28" s="119">
        <v>0</v>
      </c>
      <c r="AB28" s="119">
        <f>AS49</f>
        <v>1.6588497191426979E-2</v>
      </c>
      <c r="AC28" s="119">
        <f>AS50</f>
        <v>2.2120461892185441E-2</v>
      </c>
      <c r="AD28" s="119">
        <v>0</v>
      </c>
      <c r="AE28" s="119">
        <f>AS42</f>
        <v>5.1870837324511095E-2</v>
      </c>
      <c r="AF28" s="119">
        <v>0</v>
      </c>
      <c r="AG28" s="119">
        <f>AS43</f>
        <v>2.7245288291662391E-3</v>
      </c>
      <c r="AH28" s="119">
        <v>0</v>
      </c>
      <c r="AI28" s="119">
        <f>AS44</f>
        <v>1.7155182750313896E-2</v>
      </c>
      <c r="AJ28" s="119">
        <f>AS52</f>
        <v>6.316645317188738E-3</v>
      </c>
      <c r="AK28" s="119">
        <v>0</v>
      </c>
      <c r="AL28" s="119">
        <f>AS51</f>
        <v>4.5304989884285836E-2</v>
      </c>
      <c r="AM28" s="119">
        <f>AS53</f>
        <v>4.0139792190415226E-2</v>
      </c>
      <c r="AN28" s="119">
        <f>AS54</f>
        <v>4.2569001516059954E-2</v>
      </c>
      <c r="AO28" s="119">
        <v>0</v>
      </c>
      <c r="AP28" s="130"/>
      <c r="AQ28" s="136" t="s">
        <v>80</v>
      </c>
      <c r="AR28" s="137"/>
      <c r="AS28" s="137"/>
      <c r="AT28" s="159">
        <f>SUM(D28:AM28)</f>
        <v>0.95743099848393998</v>
      </c>
      <c r="AU28" s="128"/>
    </row>
    <row r="29" spans="1:77" ht="15.75">
      <c r="A29" s="128"/>
      <c r="B29" s="139" t="s">
        <v>106</v>
      </c>
      <c r="C29" s="140">
        <f>D28</f>
        <v>3.1860549721581859E-2</v>
      </c>
      <c r="D29" s="141">
        <f>_xlfn.VAR.S(AN3:AN19)</f>
        <v>3.1168556991028494E-3</v>
      </c>
      <c r="E29" s="142">
        <f>_xlfn.COVARIANCE.S(AN3:AN9,AO3:AO9)</f>
        <v>-4.1633521874971533E-4</v>
      </c>
      <c r="F29" s="142">
        <f>_xlfn.COVARIANCE.S(AN3:AN19,AP3:AP19)</f>
        <v>1.7197720732867845E-3</v>
      </c>
      <c r="G29" s="143">
        <f>_xlfn.COVARIANCE.S(AN3:AN19,AQ3:AQ19)</f>
        <v>1.8420223151160708E-3</v>
      </c>
      <c r="H29" s="143">
        <f>_xlfn.COVARIANCE.S(AN3:AN19,AR3:AR19)</f>
        <v>-2.2794712856079062E-3</v>
      </c>
      <c r="I29" s="143">
        <f>_xlfn.COVARIANCE.S(AN3:AN19,AS3:AS19)</f>
        <v>8.0793392205600507E-3</v>
      </c>
      <c r="J29" s="143">
        <f>_xlfn.COVARIANCE.S(AN3:AN19,AT3:AT19)</f>
        <v>2.4742082814138695E-3</v>
      </c>
      <c r="K29" s="143">
        <f>_xlfn.COVARIANCE.S(AN3:AN19,AU3:AU19)</f>
        <v>-1.8065590297933678E-3</v>
      </c>
      <c r="L29" s="143">
        <f>_xlfn.COVARIANCE.S(AN3:AN19,AV3:AV19)</f>
        <v>-2.2556422884565659E-3</v>
      </c>
      <c r="M29" s="143">
        <f>_xlfn.COVARIANCE.S(AN3:AN19,AW3:AW19)</f>
        <v>7.4280245073836742E-3</v>
      </c>
      <c r="N29" s="143">
        <f>_xlfn.COVARIANCE.S(AN3:AN4,AX3:AX4)</f>
        <v>-2.2568793063411322E-2</v>
      </c>
      <c r="O29" s="143">
        <f>_xlfn.COVARIANCE.S(AN3:AN19,AY3:AY19)</f>
        <v>8.1102778493179542E-4</v>
      </c>
      <c r="P29" s="143">
        <f>_xlfn.COVARIANCE.S(AN3:AN19,AZ3:AZ19)</f>
        <v>2.5915136004395268E-3</v>
      </c>
      <c r="Q29" s="143">
        <f>_xlfn.COVARIANCE.S(AN3:AN19,BA3:BA19)</f>
        <v>8.0176467191887227E-4</v>
      </c>
      <c r="R29" s="143">
        <f t="shared" ref="R29:AN29" si="14">_xlfn.COVARIANCE.S($AN$3:$AN$19,BB3:BB19)</f>
        <v>9.5099469542652935E-3</v>
      </c>
      <c r="S29" s="143">
        <f t="shared" si="14"/>
        <v>2.1034676508959686E-2</v>
      </c>
      <c r="T29" s="143">
        <f t="shared" si="14"/>
        <v>6.1874054269048489E-4</v>
      </c>
      <c r="U29" s="143">
        <f t="shared" si="14"/>
        <v>2.2991923817364821E-5</v>
      </c>
      <c r="V29" s="143">
        <f t="shared" si="14"/>
        <v>5.3198629379712092E-3</v>
      </c>
      <c r="W29" s="143">
        <f t="shared" si="14"/>
        <v>5.890236073327745E-3</v>
      </c>
      <c r="X29" s="143">
        <f t="shared" si="14"/>
        <v>2.5323126403489792E-4</v>
      </c>
      <c r="Y29" s="143">
        <f t="shared" si="14"/>
        <v>1.7285367728553434E-4</v>
      </c>
      <c r="Z29" s="143">
        <f t="shared" si="14"/>
        <v>1.5365077429135303E-3</v>
      </c>
      <c r="AA29" s="143">
        <f t="shared" si="14"/>
        <v>1.0056345375070248E-3</v>
      </c>
      <c r="AB29" s="143">
        <f t="shared" si="14"/>
        <v>3.1303989144767638E-3</v>
      </c>
      <c r="AC29" s="143">
        <f t="shared" si="14"/>
        <v>9.6834746151247216E-4</v>
      </c>
      <c r="AD29" s="143">
        <f t="shared" si="14"/>
        <v>3.2182956333858619E-3</v>
      </c>
      <c r="AE29" s="143">
        <f t="shared" si="14"/>
        <v>-1.6207164362222859E-3</v>
      </c>
      <c r="AF29" s="143">
        <f t="shared" si="14"/>
        <v>-2.9578540210258371E-3</v>
      </c>
      <c r="AG29" s="143">
        <f t="shared" si="14"/>
        <v>-5.4210335453054401E-3</v>
      </c>
      <c r="AH29" s="143">
        <f t="shared" si="14"/>
        <v>1.1984320555102036E-4</v>
      </c>
      <c r="AI29" s="143">
        <f t="shared" si="14"/>
        <v>-9.2341718443106585E-4</v>
      </c>
      <c r="AJ29" s="143">
        <f t="shared" si="14"/>
        <v>1.2929254902215837E-3</v>
      </c>
      <c r="AK29" s="143">
        <f t="shared" si="14"/>
        <v>5.2982153954073017E-3</v>
      </c>
      <c r="AL29" s="143">
        <f t="shared" si="14"/>
        <v>3.8302386473189481E-3</v>
      </c>
      <c r="AM29" s="143">
        <f t="shared" si="14"/>
        <v>-6.5612415769960284E-4</v>
      </c>
      <c r="AN29" s="143">
        <f t="shared" si="14"/>
        <v>-4.2534920418768639E-4</v>
      </c>
      <c r="AO29" s="143">
        <f>_xlfn.COVARIANCE.S($AN$3:$AN$19,BY3:BY19)</f>
        <v>1.7733689209540964E-3</v>
      </c>
      <c r="AQ29" s="144" t="s">
        <v>81</v>
      </c>
      <c r="AR29" s="145"/>
      <c r="AS29" s="145"/>
      <c r="AT29" s="146">
        <f>SUMPRODUCT(D28:AO28,AN22:BY22)</f>
        <v>3.6274748952727302E-2</v>
      </c>
      <c r="AU29" s="128"/>
    </row>
    <row r="30" spans="1:77" ht="15.75">
      <c r="A30" s="128"/>
      <c r="B30" s="147" t="s">
        <v>107</v>
      </c>
      <c r="C30" s="140">
        <f>E28</f>
        <v>2.2190732545245388E-2</v>
      </c>
      <c r="D30" s="142">
        <f>E29</f>
        <v>-4.1633521874971533E-4</v>
      </c>
      <c r="E30" s="141">
        <f>_xlfn.VAR.S(AO3:AO9)</f>
        <v>4.2388018624358271E-3</v>
      </c>
      <c r="F30" s="142">
        <f>_xlfn.COVARIANCE.S(AO3:AO9,AP3:AP9)</f>
        <v>-4.6349423144034134E-4</v>
      </c>
      <c r="G30" s="143">
        <f t="shared" ref="G30:M30" si="15">_xlfn.COVARIANCE.S($AO$3:$AO$9,AQ3:AQ9)</f>
        <v>1.0291991199717603E-3</v>
      </c>
      <c r="H30" s="143">
        <f t="shared" si="15"/>
        <v>1.5203456718940916E-2</v>
      </c>
      <c r="I30" s="143">
        <f t="shared" si="15"/>
        <v>-2.331616789220242E-3</v>
      </c>
      <c r="J30" s="143">
        <f t="shared" si="15"/>
        <v>1.9100949437808959E-3</v>
      </c>
      <c r="K30" s="143">
        <f t="shared" si="15"/>
        <v>6.7821808568034559E-4</v>
      </c>
      <c r="L30" s="143">
        <f t="shared" si="15"/>
        <v>-1.78893486274981E-3</v>
      </c>
      <c r="M30" s="143">
        <f t="shared" si="15"/>
        <v>3.8595341566702818E-3</v>
      </c>
      <c r="N30" s="143">
        <f>_xlfn.COVARIANCE.S($AO$3:$AO$4,AX3:AX4)</f>
        <v>-4.1869071704437669E-2</v>
      </c>
      <c r="O30" s="143">
        <f t="shared" ref="O30:AO30" si="16">_xlfn.COVARIANCE.S($AO$3:$AO$9,AY3:AY9)</f>
        <v>1.5433528719880293E-3</v>
      </c>
      <c r="P30" s="143">
        <f t="shared" si="16"/>
        <v>-3.7702604353130075E-3</v>
      </c>
      <c r="Q30" s="143">
        <f t="shared" si="16"/>
        <v>3.4942383111587465E-3</v>
      </c>
      <c r="R30" s="143">
        <f t="shared" si="16"/>
        <v>1.5413627922668447E-4</v>
      </c>
      <c r="S30" s="143">
        <f t="shared" si="16"/>
        <v>-1.9168140499835031E-2</v>
      </c>
      <c r="T30" s="143">
        <f t="shared" si="16"/>
        <v>-3.7046056660916668E-4</v>
      </c>
      <c r="U30" s="143">
        <f t="shared" si="16"/>
        <v>2.1748949760558374E-4</v>
      </c>
      <c r="V30" s="143">
        <f t="shared" si="16"/>
        <v>-3.2428466095112064E-4</v>
      </c>
      <c r="W30" s="143">
        <f t="shared" si="16"/>
        <v>-7.7284974275467896E-3</v>
      </c>
      <c r="X30" s="143">
        <f t="shared" si="16"/>
        <v>2.0617940906201156E-3</v>
      </c>
      <c r="Y30" s="143">
        <f t="shared" si="16"/>
        <v>-5.1820348267843175E-3</v>
      </c>
      <c r="Z30" s="143">
        <f t="shared" si="16"/>
        <v>2.0499440292832136E-4</v>
      </c>
      <c r="AA30" s="143">
        <f t="shared" si="16"/>
        <v>2.2210000253432179E-3</v>
      </c>
      <c r="AB30" s="143">
        <f t="shared" si="16"/>
        <v>-1.4932329076813809E-3</v>
      </c>
      <c r="AC30" s="143">
        <f t="shared" si="16"/>
        <v>1.9182309602068653E-3</v>
      </c>
      <c r="AD30" s="143">
        <f t="shared" si="16"/>
        <v>-8.9911730272544015E-4</v>
      </c>
      <c r="AE30" s="143">
        <f t="shared" si="16"/>
        <v>-2.5128943342690954E-3</v>
      </c>
      <c r="AF30" s="143">
        <f t="shared" si="16"/>
        <v>-7.8842208934372052E-3</v>
      </c>
      <c r="AG30" s="143">
        <f t="shared" si="16"/>
        <v>-2.9865046517199914E-3</v>
      </c>
      <c r="AH30" s="143">
        <f t="shared" si="16"/>
        <v>-1.898544384844494E-3</v>
      </c>
      <c r="AI30" s="143">
        <f t="shared" si="16"/>
        <v>-3.5487754941181909E-3</v>
      </c>
      <c r="AJ30" s="143">
        <f t="shared" si="16"/>
        <v>6.3976167030102123E-5</v>
      </c>
      <c r="AK30" s="143">
        <f t="shared" si="16"/>
        <v>7.0778027544392806E-4</v>
      </c>
      <c r="AL30" s="143">
        <f t="shared" si="16"/>
        <v>-6.2481605525272919E-4</v>
      </c>
      <c r="AM30" s="143">
        <f t="shared" si="16"/>
        <v>2.8599372363347481E-3</v>
      </c>
      <c r="AN30" s="143">
        <f t="shared" si="16"/>
        <v>2.7711413482316379E-3</v>
      </c>
      <c r="AO30" s="143">
        <f t="shared" si="16"/>
        <v>4.6924110757718537E-3</v>
      </c>
      <c r="AQ30" s="144" t="s">
        <v>82</v>
      </c>
      <c r="AR30" s="145"/>
      <c r="AS30" s="145"/>
      <c r="AT30" s="146">
        <f>SUM(AN24:BS24)^(0.5)</f>
        <v>3.9274390897343213E-2</v>
      </c>
      <c r="AU30" s="128"/>
    </row>
    <row r="31" spans="1:77" ht="16.5" thickBot="1">
      <c r="A31" s="128"/>
      <c r="B31" s="148" t="s">
        <v>108</v>
      </c>
      <c r="C31" s="140">
        <f>F28</f>
        <v>0.20683303755262122</v>
      </c>
      <c r="D31" s="142">
        <f>F29</f>
        <v>1.7197720732867845E-3</v>
      </c>
      <c r="E31" s="142">
        <f>F30</f>
        <v>-4.6349423144034134E-4</v>
      </c>
      <c r="F31" s="141">
        <f>_xlfn.VAR.S(AP3:AP19)</f>
        <v>3.4712872307963985E-3</v>
      </c>
      <c r="G31" s="143">
        <f t="shared" ref="G31:M31" si="17">_xlfn.COVARIANCE.S($AP$3:$AP$19,AQ3:AQ19)</f>
        <v>1.2979319532476559E-3</v>
      </c>
      <c r="H31" s="143">
        <f t="shared" si="17"/>
        <v>-9.2495443867113766E-3</v>
      </c>
      <c r="I31" s="143">
        <f t="shared" si="17"/>
        <v>1.2134711780784291E-2</v>
      </c>
      <c r="J31" s="143">
        <f t="shared" si="17"/>
        <v>4.57606963238284E-3</v>
      </c>
      <c r="K31" s="143">
        <f t="shared" si="17"/>
        <v>-5.1021786391083901E-4</v>
      </c>
      <c r="L31" s="143">
        <f t="shared" si="17"/>
        <v>6.9798150397398936E-4</v>
      </c>
      <c r="M31" s="143">
        <f t="shared" si="17"/>
        <v>6.1846391512514693E-3</v>
      </c>
      <c r="N31" s="143">
        <f>_xlfn.COVARIANCE.S($AP$3:$AP$4,AX3:AX4)</f>
        <v>4.5681439455241737E-2</v>
      </c>
      <c r="O31" s="143">
        <f t="shared" ref="O31:AO31" si="18">_xlfn.COVARIANCE.S($AP$3:$AP$19,AY3:AY19)</f>
        <v>1.0614447641109658E-3</v>
      </c>
      <c r="P31" s="143">
        <f t="shared" si="18"/>
        <v>5.3204383193454288E-3</v>
      </c>
      <c r="Q31" s="143">
        <f t="shared" si="18"/>
        <v>4.8979943671029645E-3</v>
      </c>
      <c r="R31" s="143">
        <f t="shared" si="18"/>
        <v>7.88979324569976E-3</v>
      </c>
      <c r="S31" s="143">
        <f t="shared" si="18"/>
        <v>1.8286324242945087E-2</v>
      </c>
      <c r="T31" s="143">
        <f t="shared" si="18"/>
        <v>9.9588519209176216E-4</v>
      </c>
      <c r="U31" s="143">
        <f t="shared" si="18"/>
        <v>7.5477698365388249E-4</v>
      </c>
      <c r="V31" s="143">
        <f t="shared" si="18"/>
        <v>8.4510835660988777E-3</v>
      </c>
      <c r="W31" s="143">
        <f t="shared" si="18"/>
        <v>8.7322506916640528E-3</v>
      </c>
      <c r="X31" s="143">
        <f t="shared" si="18"/>
        <v>1.5919864791855772E-3</v>
      </c>
      <c r="Y31" s="143">
        <f t="shared" si="18"/>
        <v>3.5150566351058996E-3</v>
      </c>
      <c r="Z31" s="143">
        <f t="shared" si="18"/>
        <v>4.4461011751876613E-3</v>
      </c>
      <c r="AA31" s="143">
        <f t="shared" si="18"/>
        <v>4.4916320689075409E-3</v>
      </c>
      <c r="AB31" s="143">
        <f t="shared" si="18"/>
        <v>3.8154624540947396E-3</v>
      </c>
      <c r="AC31" s="143">
        <f t="shared" si="18"/>
        <v>1.3279348954612718E-3</v>
      </c>
      <c r="AD31" s="143">
        <f t="shared" si="18"/>
        <v>3.4606222235665941E-3</v>
      </c>
      <c r="AE31" s="143">
        <f t="shared" si="18"/>
        <v>-3.5076882762512169E-3</v>
      </c>
      <c r="AF31" s="143">
        <f t="shared" si="18"/>
        <v>2.5341691093703372E-3</v>
      </c>
      <c r="AG31" s="143">
        <f t="shared" si="18"/>
        <v>-3.7779480059709446E-4</v>
      </c>
      <c r="AH31" s="143">
        <f t="shared" si="18"/>
        <v>-2.6413429194899899E-3</v>
      </c>
      <c r="AI31" s="143">
        <f t="shared" si="18"/>
        <v>-1.7719307444153244E-3</v>
      </c>
      <c r="AJ31" s="143">
        <f t="shared" si="18"/>
        <v>1.5173826401804302E-3</v>
      </c>
      <c r="AK31" s="143">
        <f t="shared" si="18"/>
        <v>6.2148564192119054E-4</v>
      </c>
      <c r="AL31" s="143">
        <f t="shared" si="18"/>
        <v>-8.3590358179113218E-5</v>
      </c>
      <c r="AM31" s="143">
        <f t="shared" si="18"/>
        <v>1.5258782641921007E-3</v>
      </c>
      <c r="AN31" s="143">
        <f t="shared" si="18"/>
        <v>1.447013034581894E-3</v>
      </c>
      <c r="AO31" s="143">
        <f t="shared" si="18"/>
        <v>2.9059665117783795E-3</v>
      </c>
      <c r="AQ31" s="144"/>
      <c r="AR31" s="145"/>
      <c r="AS31" s="145"/>
      <c r="AT31" s="149"/>
      <c r="AU31" s="128"/>
    </row>
    <row r="32" spans="1:77" ht="16.5" thickBot="1">
      <c r="A32" s="128"/>
      <c r="B32" s="128" t="s">
        <v>109</v>
      </c>
      <c r="C32" s="140">
        <f>G28</f>
        <v>2.111674218400467E-2</v>
      </c>
      <c r="D32" s="142">
        <f>G29</f>
        <v>1.8420223151160708E-3</v>
      </c>
      <c r="E32" s="150">
        <f>G30</f>
        <v>1.0291991199717603E-3</v>
      </c>
      <c r="F32" s="143">
        <f>G31</f>
        <v>1.2979319532476559E-3</v>
      </c>
      <c r="G32" s="151">
        <f>_xlfn.VAR.S(AQ3:AQ19)</f>
        <v>2.4987797190745651E-3</v>
      </c>
      <c r="H32" s="143">
        <f t="shared" ref="H32:M32" si="19">_xlfn.COVARIANCE.S($AQ$3:$AQ$19,AR3:AR19)</f>
        <v>2.7674851792120012E-6</v>
      </c>
      <c r="I32" s="143">
        <f t="shared" si="19"/>
        <v>1.8313063646371475E-3</v>
      </c>
      <c r="J32" s="143">
        <f t="shared" si="19"/>
        <v>8.3132904100987834E-4</v>
      </c>
      <c r="K32" s="143">
        <f t="shared" si="19"/>
        <v>-6.5317646881510132E-4</v>
      </c>
      <c r="L32" s="143">
        <f t="shared" si="19"/>
        <v>-9.6079499802933566E-4</v>
      </c>
      <c r="M32" s="143">
        <f t="shared" si="19"/>
        <v>3.5921403086717524E-3</v>
      </c>
      <c r="N32" s="143">
        <f>_xlfn.COVARIANCE.S($AQ$3:$AQ$4,AX3:AX4)</f>
        <v>-6.6771704779559113E-2</v>
      </c>
      <c r="O32" s="143">
        <f t="shared" ref="O32:AO32" si="20">_xlfn.COVARIANCE.S($AQ$3:$AQ$19,AY3:AY19)</f>
        <v>-1.3020527664264915E-4</v>
      </c>
      <c r="P32" s="143">
        <f t="shared" si="20"/>
        <v>-3.0642714381186206E-4</v>
      </c>
      <c r="Q32" s="143">
        <f t="shared" si="20"/>
        <v>1.5883241347821129E-3</v>
      </c>
      <c r="R32" s="143">
        <f t="shared" si="20"/>
        <v>2.348009640327713E-3</v>
      </c>
      <c r="S32" s="143">
        <f t="shared" si="20"/>
        <v>1.2542895726369283E-2</v>
      </c>
      <c r="T32" s="143">
        <f t="shared" si="20"/>
        <v>4.0914447514485051E-4</v>
      </c>
      <c r="U32" s="143">
        <f t="shared" si="20"/>
        <v>1.9862150262190334E-3</v>
      </c>
      <c r="V32" s="143">
        <f t="shared" si="20"/>
        <v>2.6851166768612949E-3</v>
      </c>
      <c r="W32" s="143">
        <f t="shared" si="20"/>
        <v>1.5608105721943322E-3</v>
      </c>
      <c r="X32" s="143">
        <f t="shared" si="20"/>
        <v>1.181455657272204E-3</v>
      </c>
      <c r="Y32" s="143">
        <f t="shared" si="20"/>
        <v>8.6842289102914954E-4</v>
      </c>
      <c r="Z32" s="143">
        <f t="shared" si="20"/>
        <v>6.8568620567192363E-4</v>
      </c>
      <c r="AA32" s="143">
        <f t="shared" si="20"/>
        <v>7.1386682799900406E-4</v>
      </c>
      <c r="AB32" s="143">
        <f t="shared" si="20"/>
        <v>3.3474879889052785E-3</v>
      </c>
      <c r="AC32" s="143">
        <f t="shared" si="20"/>
        <v>1.3931287936368101E-3</v>
      </c>
      <c r="AD32" s="143">
        <f t="shared" si="20"/>
        <v>2.4393283739096092E-3</v>
      </c>
      <c r="AE32" s="143">
        <f t="shared" si="20"/>
        <v>-1.1483179318374547E-3</v>
      </c>
      <c r="AF32" s="143">
        <f t="shared" si="20"/>
        <v>-4.2537255551786069E-3</v>
      </c>
      <c r="AG32" s="143">
        <f t="shared" si="20"/>
        <v>-2.0240766341428872E-3</v>
      </c>
      <c r="AH32" s="143">
        <f t="shared" si="20"/>
        <v>-1.5042303637718903E-3</v>
      </c>
      <c r="AI32" s="143">
        <f t="shared" si="20"/>
        <v>-1.2307853232197804E-3</v>
      </c>
      <c r="AJ32" s="143">
        <f t="shared" si="20"/>
        <v>2.717834076864282E-3</v>
      </c>
      <c r="AK32" s="143">
        <f t="shared" si="20"/>
        <v>3.5069335382817667E-3</v>
      </c>
      <c r="AL32" s="143">
        <f t="shared" si="20"/>
        <v>2.2638804134699386E-3</v>
      </c>
      <c r="AM32" s="143">
        <f t="shared" si="20"/>
        <v>7.2227000830788835E-4</v>
      </c>
      <c r="AN32" s="143">
        <f t="shared" si="20"/>
        <v>-5.8374517227011721E-4</v>
      </c>
      <c r="AO32" s="143">
        <f t="shared" si="20"/>
        <v>1.9328734242789966E-3</v>
      </c>
      <c r="AQ32" s="152" t="s">
        <v>83</v>
      </c>
      <c r="AR32" s="153"/>
      <c r="AS32" s="153"/>
      <c r="AT32" s="154">
        <f>(AT29-(0.25*BW1))/AT30</f>
        <v>0.65309094212998786</v>
      </c>
      <c r="AU32" s="128"/>
    </row>
    <row r="33" spans="1:47" ht="15.75">
      <c r="A33" s="130"/>
      <c r="B33" s="130" t="s">
        <v>110</v>
      </c>
      <c r="C33" s="140">
        <f>H28</f>
        <v>5.5215456421473366E-2</v>
      </c>
      <c r="D33" s="142">
        <f>H29</f>
        <v>-2.2794712856079062E-3</v>
      </c>
      <c r="E33" s="142">
        <f>H30</f>
        <v>1.5203456718940916E-2</v>
      </c>
      <c r="F33" s="143">
        <f>H31</f>
        <v>-9.2495443867113766E-3</v>
      </c>
      <c r="G33" s="143">
        <f>H32</f>
        <v>2.7674851792120012E-6</v>
      </c>
      <c r="H33" s="151">
        <f>_xlfn.VAR.S(AR3:AR19)</f>
        <v>0.10533307633981792</v>
      </c>
      <c r="I33" s="143">
        <f>_xlfn.COVARIANCE.S($AR$3:$AR$19,AS3:AS19)</f>
        <v>-3.2899227861029563E-2</v>
      </c>
      <c r="J33" s="143">
        <f>_xlfn.COVARIANCE.S($AR$3:$AR$19,AT3:AT19)</f>
        <v>-8.6648030118694815E-3</v>
      </c>
      <c r="K33" s="143">
        <f>_xlfn.COVARIANCE.S($AR$3:$AR$19,AU3:AU19)</f>
        <v>1.5244477612277347E-3</v>
      </c>
      <c r="L33" s="143">
        <f>_xlfn.COVARIANCE.S($AR$3:$AR$19,AV3:AV19)</f>
        <v>-4.7144964254108059E-3</v>
      </c>
      <c r="M33" s="143">
        <f>_xlfn.COVARIANCE.S($AR$3:$AR$19,AW3:AW19)</f>
        <v>-6.9441779635017221E-3</v>
      </c>
      <c r="N33" s="143">
        <f>_xlfn.COVARIANCE.S($AR$3:$AR$4,AX3:AX4)</f>
        <v>-0.22424558782145843</v>
      </c>
      <c r="O33" s="143">
        <f t="shared" ref="O33:AO33" si="21">_xlfn.COVARIANCE.S($AR$3:$AR$19,AY3:AY19)</f>
        <v>-1.3573059154220236E-3</v>
      </c>
      <c r="P33" s="143">
        <f t="shared" si="21"/>
        <v>-1.8698526641816014E-2</v>
      </c>
      <c r="Q33" s="143">
        <f t="shared" si="21"/>
        <v>-1.2487338844330457E-2</v>
      </c>
      <c r="R33" s="143">
        <f t="shared" si="21"/>
        <v>5.3027125949068115E-3</v>
      </c>
      <c r="S33" s="143">
        <f t="shared" si="21"/>
        <v>-2.1899784080964067E-2</v>
      </c>
      <c r="T33" s="143">
        <f t="shared" si="21"/>
        <v>-2.242374325637053E-3</v>
      </c>
      <c r="U33" s="143">
        <f t="shared" si="21"/>
        <v>2.2690910782367209E-3</v>
      </c>
      <c r="V33" s="143">
        <f t="shared" si="21"/>
        <v>-2.2960933299749128E-2</v>
      </c>
      <c r="W33" s="143">
        <f t="shared" si="21"/>
        <v>-2.6407698412175107E-2</v>
      </c>
      <c r="X33" s="143">
        <f t="shared" si="21"/>
        <v>-7.3654613495785122E-3</v>
      </c>
      <c r="Y33" s="143">
        <f t="shared" si="21"/>
        <v>-2.6726610946265241E-2</v>
      </c>
      <c r="Z33" s="143">
        <f t="shared" si="21"/>
        <v>-1.6676979571267483E-2</v>
      </c>
      <c r="AA33" s="143">
        <f t="shared" si="21"/>
        <v>-1.6861824211333133E-2</v>
      </c>
      <c r="AB33" s="143">
        <f t="shared" si="21"/>
        <v>-1.7332877483620057E-2</v>
      </c>
      <c r="AC33" s="143">
        <f t="shared" si="21"/>
        <v>-4.0290416093180376E-3</v>
      </c>
      <c r="AD33" s="143">
        <f t="shared" si="21"/>
        <v>-1.1728167718193159E-2</v>
      </c>
      <c r="AE33" s="143">
        <f t="shared" si="21"/>
        <v>-5.3816823464228748E-4</v>
      </c>
      <c r="AF33" s="143">
        <f t="shared" si="21"/>
        <v>-1.7924267903187411E-2</v>
      </c>
      <c r="AG33" s="143">
        <f t="shared" si="21"/>
        <v>-1.1004156321513643E-2</v>
      </c>
      <c r="AH33" s="143">
        <f t="shared" si="21"/>
        <v>4.1515643442773167E-3</v>
      </c>
      <c r="AI33" s="143">
        <f t="shared" si="21"/>
        <v>-4.5712041882512303E-3</v>
      </c>
      <c r="AJ33" s="143">
        <f t="shared" si="21"/>
        <v>-5.0935653541613795E-3</v>
      </c>
      <c r="AK33" s="143">
        <f t="shared" si="21"/>
        <v>8.3377046653668012E-3</v>
      </c>
      <c r="AL33" s="143">
        <f t="shared" si="21"/>
        <v>4.1967775687414286E-3</v>
      </c>
      <c r="AM33" s="143">
        <f t="shared" si="21"/>
        <v>-3.8271338208160123E-3</v>
      </c>
      <c r="AN33" s="143">
        <f t="shared" si="21"/>
        <v>-1.9055518757756633E-3</v>
      </c>
      <c r="AO33" s="143">
        <f t="shared" si="21"/>
        <v>-3.8546608936286353E-3</v>
      </c>
    </row>
    <row r="34" spans="1:47" ht="15.75">
      <c r="A34" s="130"/>
      <c r="B34" s="130" t="s">
        <v>111</v>
      </c>
      <c r="C34" s="140">
        <f>I28</f>
        <v>0</v>
      </c>
      <c r="D34" s="142">
        <f>I29</f>
        <v>8.0793392205600507E-3</v>
      </c>
      <c r="E34" s="150">
        <f>I30</f>
        <v>-2.331616789220242E-3</v>
      </c>
      <c r="F34" s="143">
        <f>I31</f>
        <v>1.2134711780784291E-2</v>
      </c>
      <c r="G34" s="143">
        <f>I32</f>
        <v>1.8313063646371475E-3</v>
      </c>
      <c r="H34" s="143">
        <f>I33</f>
        <v>-3.2899227861029563E-2</v>
      </c>
      <c r="I34" s="151">
        <f>_xlfn.VAR.S(AS3:AS19)</f>
        <v>8.1436051142130567E-2</v>
      </c>
      <c r="J34" s="143">
        <f>_xlfn.COVARIANCE.S($AS$3:$AS$19,AT3:AT19)</f>
        <v>2.3489435111150765E-2</v>
      </c>
      <c r="K34" s="143">
        <f>_xlfn.COVARIANCE.S($AS$3:$AS$19,AU3:AU19)</f>
        <v>-3.7653225641715677E-3</v>
      </c>
      <c r="L34" s="143">
        <f>_xlfn.COVARIANCE.S($AS$3:$AS$19,AV3:AV19)</f>
        <v>-6.5981014512683008E-4</v>
      </c>
      <c r="M34" s="143">
        <f>_xlfn.COVARIANCE.S($AS$3:$AS$19,AW3:AW19)</f>
        <v>3.8029250904795669E-2</v>
      </c>
      <c r="N34" s="143">
        <f>_xlfn.COVARIANCE.S($AS$3:$AS$4,AX3:AX4)</f>
        <v>-1.7753147098922027E-2</v>
      </c>
      <c r="O34" s="143">
        <f t="shared" ref="O34:AO34" si="22">_xlfn.COVARIANCE.S($AS$3:$AS$19,AY3:AY19)</f>
        <v>-3.9306418756449268E-5</v>
      </c>
      <c r="P34" s="143">
        <f t="shared" si="22"/>
        <v>2.2678318664367741E-2</v>
      </c>
      <c r="Q34" s="143">
        <f t="shared" si="22"/>
        <v>1.8874390644380321E-2</v>
      </c>
      <c r="R34" s="143">
        <f t="shared" si="22"/>
        <v>4.9534069566545949E-2</v>
      </c>
      <c r="S34" s="143">
        <f t="shared" si="22"/>
        <v>6.6515442644688921E-2</v>
      </c>
      <c r="T34" s="143">
        <f t="shared" si="22"/>
        <v>4.6316486312743058E-3</v>
      </c>
      <c r="U34" s="143">
        <f t="shared" si="22"/>
        <v>-3.2983513625909444E-3</v>
      </c>
      <c r="V34" s="143">
        <f t="shared" si="22"/>
        <v>2.9838743249991171E-2</v>
      </c>
      <c r="W34" s="143">
        <f t="shared" si="22"/>
        <v>4.6587964164276595E-2</v>
      </c>
      <c r="X34" s="143">
        <f t="shared" si="22"/>
        <v>2.9546421104595781E-3</v>
      </c>
      <c r="Y34" s="143">
        <f t="shared" si="22"/>
        <v>5.6838191515149314E-3</v>
      </c>
      <c r="Z34" s="143">
        <f t="shared" si="22"/>
        <v>1.8997225373727909E-2</v>
      </c>
      <c r="AA34" s="143">
        <f t="shared" si="22"/>
        <v>1.2641341866315256E-2</v>
      </c>
      <c r="AB34" s="143">
        <f t="shared" si="22"/>
        <v>5.4572633798640651E-3</v>
      </c>
      <c r="AC34" s="143">
        <f t="shared" si="22"/>
        <v>-5.0264102602676827E-3</v>
      </c>
      <c r="AD34" s="143">
        <f t="shared" si="22"/>
        <v>9.1202719006058738E-3</v>
      </c>
      <c r="AE34" s="143">
        <f t="shared" si="22"/>
        <v>-1.3914364672927074E-2</v>
      </c>
      <c r="AF34" s="143">
        <f t="shared" si="22"/>
        <v>1.7533569270888119E-3</v>
      </c>
      <c r="AG34" s="143">
        <f t="shared" si="22"/>
        <v>-1.8822809591296032E-2</v>
      </c>
      <c r="AH34" s="143">
        <f t="shared" si="22"/>
        <v>-4.5946080463716479E-3</v>
      </c>
      <c r="AI34" s="143">
        <f t="shared" si="22"/>
        <v>-1.0188491991858166E-2</v>
      </c>
      <c r="AJ34" s="143">
        <f t="shared" si="22"/>
        <v>3.2111820985003536E-4</v>
      </c>
      <c r="AK34" s="143">
        <f t="shared" si="22"/>
        <v>-1.7781776545022247E-3</v>
      </c>
      <c r="AL34" s="143">
        <f t="shared" si="22"/>
        <v>-2.7329789692794003E-3</v>
      </c>
      <c r="AM34" s="143">
        <f t="shared" si="22"/>
        <v>3.9466213882132558E-3</v>
      </c>
      <c r="AN34" s="143">
        <f t="shared" si="22"/>
        <v>1.9384652766256739E-3</v>
      </c>
      <c r="AO34" s="143">
        <f t="shared" si="22"/>
        <v>1.0127089444457969E-2</v>
      </c>
    </row>
    <row r="35" spans="1:47" ht="15.75">
      <c r="A35" s="130"/>
      <c r="B35" s="130" t="s">
        <v>112</v>
      </c>
      <c r="C35" s="140">
        <f>J28</f>
        <v>0</v>
      </c>
      <c r="D35" s="142">
        <f>J29</f>
        <v>2.4742082814138695E-3</v>
      </c>
      <c r="E35" s="150">
        <f>J30</f>
        <v>1.9100949437808959E-3</v>
      </c>
      <c r="F35" s="143">
        <f>J31</f>
        <v>4.57606963238284E-3</v>
      </c>
      <c r="G35" s="143">
        <f>J32</f>
        <v>8.3132904100987834E-4</v>
      </c>
      <c r="H35" s="143">
        <f>J33</f>
        <v>-8.6648030118694815E-3</v>
      </c>
      <c r="I35" s="143">
        <f>J34</f>
        <v>2.3489435111150765E-2</v>
      </c>
      <c r="J35" s="151">
        <f>_xlfn.VAR.S(AT3:AT19)</f>
        <v>1.4372348904896866E-2</v>
      </c>
      <c r="K35" s="143">
        <f>_xlfn.COVARIANCE.S($AT$3:$AT$19,AU3:AU19)</f>
        <v>-3.1023503162053764E-3</v>
      </c>
      <c r="L35" s="143">
        <f>_xlfn.COVARIANCE.S($AT$3:$AT$19,AV3:AV19)</f>
        <v>-1.0717642055791893E-3</v>
      </c>
      <c r="M35" s="143">
        <f>_xlfn.COVARIANCE.S($AT$3:$AT$19,AW3:AW19)</f>
        <v>1.2704602793636515E-2</v>
      </c>
      <c r="N35" s="143">
        <f>_xlfn.COVARIANCE.S($AT$3:$AT$4,AX3:AX4)</f>
        <v>-7.5689127774174414E-2</v>
      </c>
      <c r="O35" s="143">
        <f t="shared" ref="O35:AO35" si="23">_xlfn.COVARIANCE.S($AT$3:$AT$19,AY3:AY19)</f>
        <v>1.2882608379334716E-3</v>
      </c>
      <c r="P35" s="143">
        <f t="shared" si="23"/>
        <v>1.1540311025770971E-2</v>
      </c>
      <c r="Q35" s="143">
        <f t="shared" si="23"/>
        <v>6.5098533986274422E-3</v>
      </c>
      <c r="R35" s="143">
        <f t="shared" si="23"/>
        <v>1.774580789646342E-2</v>
      </c>
      <c r="S35" s="143">
        <f t="shared" si="23"/>
        <v>2.4472242226609493E-2</v>
      </c>
      <c r="T35" s="143">
        <f t="shared" si="23"/>
        <v>2.1452583866312658E-3</v>
      </c>
      <c r="U35" s="143">
        <f t="shared" si="23"/>
        <v>-3.7644815227932504E-6</v>
      </c>
      <c r="V35" s="143">
        <f t="shared" si="23"/>
        <v>1.3700695281224404E-2</v>
      </c>
      <c r="W35" s="143">
        <f t="shared" si="23"/>
        <v>1.4243343448117059E-2</v>
      </c>
      <c r="X35" s="143">
        <f t="shared" si="23"/>
        <v>3.2991564104728282E-3</v>
      </c>
      <c r="Y35" s="143">
        <f t="shared" si="23"/>
        <v>2.4871625874303685E-3</v>
      </c>
      <c r="Z35" s="143">
        <f t="shared" si="23"/>
        <v>8.8665074751963831E-3</v>
      </c>
      <c r="AA35" s="143">
        <f t="shared" si="23"/>
        <v>5.1522085873870992E-3</v>
      </c>
      <c r="AB35" s="143">
        <f t="shared" si="23"/>
        <v>-7.5501557217387441E-4</v>
      </c>
      <c r="AC35" s="143">
        <f t="shared" si="23"/>
        <v>7.282460968642112E-7</v>
      </c>
      <c r="AD35" s="143">
        <f t="shared" si="23"/>
        <v>5.7954916290236416E-5</v>
      </c>
      <c r="AE35" s="143">
        <f t="shared" si="23"/>
        <v>-9.0220015132628627E-3</v>
      </c>
      <c r="AF35" s="143">
        <f t="shared" si="23"/>
        <v>-7.5498646274755332E-3</v>
      </c>
      <c r="AG35" s="143">
        <f t="shared" si="23"/>
        <v>-1.3610844008755587E-2</v>
      </c>
      <c r="AH35" s="143">
        <f t="shared" si="23"/>
        <v>-4.0107415930048084E-3</v>
      </c>
      <c r="AI35" s="143">
        <f t="shared" si="23"/>
        <v>-2.7960395473676509E-3</v>
      </c>
      <c r="AJ35" s="143">
        <f t="shared" si="23"/>
        <v>1.1304798723189584E-3</v>
      </c>
      <c r="AK35" s="143">
        <f t="shared" si="23"/>
        <v>-1.7294345572994594E-3</v>
      </c>
      <c r="AL35" s="143">
        <f t="shared" si="23"/>
        <v>-2.5951155674385417E-3</v>
      </c>
      <c r="AM35" s="143">
        <f t="shared" si="23"/>
        <v>3.6335045788365512E-3</v>
      </c>
      <c r="AN35" s="143">
        <f t="shared" si="23"/>
        <v>2.5400651324420436E-3</v>
      </c>
      <c r="AO35" s="143">
        <f t="shared" si="23"/>
        <v>9.8876162667329934E-3</v>
      </c>
    </row>
    <row r="36" spans="1:47" ht="15.75">
      <c r="A36" s="128"/>
      <c r="B36" s="128" t="s">
        <v>113</v>
      </c>
      <c r="C36" s="140">
        <f>K28</f>
        <v>0</v>
      </c>
      <c r="D36" s="142">
        <f>K29</f>
        <v>-1.8065590297933678E-3</v>
      </c>
      <c r="E36" s="150">
        <f>K30</f>
        <v>6.7821808568034559E-4</v>
      </c>
      <c r="F36" s="143">
        <f>K31</f>
        <v>-5.1021786391083901E-4</v>
      </c>
      <c r="G36" s="143">
        <f>K32</f>
        <v>-6.5317646881510132E-4</v>
      </c>
      <c r="H36" s="143">
        <f>K33</f>
        <v>1.5244477612277347E-3</v>
      </c>
      <c r="I36" s="143">
        <f>K34</f>
        <v>-3.7653225641715677E-3</v>
      </c>
      <c r="J36" s="143">
        <f>K35</f>
        <v>-3.1023503162053764E-3</v>
      </c>
      <c r="K36" s="151">
        <f>_xlfn.VAR.S(AU3:AU19)</f>
        <v>3.6556961774526246E-3</v>
      </c>
      <c r="L36" s="143">
        <f>_xlfn.COVARIANCE.S($AU$3:$AU$19,AV3:AV19)</f>
        <v>3.6000849534949231E-3</v>
      </c>
      <c r="M36" s="143">
        <f>_xlfn.COVARIANCE.S($AU$3:$AU$19,AW3:AW19)</f>
        <v>-2.7976790659151735E-3</v>
      </c>
      <c r="N36" s="143">
        <f>_xlfn.COVARIANCE.S($AU$3:$AU$4,AX3:AX4)</f>
        <v>4.4100568225256251E-2</v>
      </c>
      <c r="O36" s="143">
        <f t="shared" ref="O36:AO36" si="24">_xlfn.COVARIANCE.S($AU$3:$AU$19,AY3:AY19)</f>
        <v>8.7658814185224401E-5</v>
      </c>
      <c r="P36" s="143">
        <f t="shared" si="24"/>
        <v>-1.15754004366471E-3</v>
      </c>
      <c r="Q36" s="143">
        <f t="shared" si="24"/>
        <v>4.8556085726789855E-4</v>
      </c>
      <c r="R36" s="143">
        <f t="shared" si="24"/>
        <v>-9.5048140281323874E-3</v>
      </c>
      <c r="S36" s="143">
        <f t="shared" si="24"/>
        <v>-1.7375940954211293E-2</v>
      </c>
      <c r="T36" s="143">
        <f t="shared" si="24"/>
        <v>-3.2622967526550073E-4</v>
      </c>
      <c r="U36" s="143">
        <f t="shared" si="24"/>
        <v>-1.1522984553683782E-4</v>
      </c>
      <c r="V36" s="143">
        <f t="shared" si="24"/>
        <v>-3.2528396390749804E-3</v>
      </c>
      <c r="W36" s="143">
        <f t="shared" si="24"/>
        <v>-7.4959508120014621E-3</v>
      </c>
      <c r="X36" s="143">
        <f t="shared" si="24"/>
        <v>-3.308965046002237E-4</v>
      </c>
      <c r="Y36" s="143">
        <f t="shared" si="24"/>
        <v>-1.3394286062896042E-3</v>
      </c>
      <c r="Z36" s="143">
        <f t="shared" si="24"/>
        <v>-2.0887546414879886E-3</v>
      </c>
      <c r="AA36" s="143">
        <f t="shared" si="24"/>
        <v>-1.1446551670324591E-3</v>
      </c>
      <c r="AB36" s="143">
        <f t="shared" si="24"/>
        <v>-9.1608910068431693E-4</v>
      </c>
      <c r="AC36" s="143">
        <f t="shared" si="24"/>
        <v>-4.8189590743931524E-5</v>
      </c>
      <c r="AD36" s="143">
        <f t="shared" si="24"/>
        <v>-2.4945779210234055E-4</v>
      </c>
      <c r="AE36" s="143">
        <f t="shared" si="24"/>
        <v>8.9750683160267069E-4</v>
      </c>
      <c r="AF36" s="143">
        <f t="shared" si="24"/>
        <v>5.9139651505591452E-3</v>
      </c>
      <c r="AG36" s="143">
        <f t="shared" si="24"/>
        <v>9.0817039268410518E-3</v>
      </c>
      <c r="AH36" s="143">
        <f t="shared" si="24"/>
        <v>-8.232209824130404E-4</v>
      </c>
      <c r="AI36" s="143">
        <f t="shared" si="24"/>
        <v>-6.7413309498092302E-4</v>
      </c>
      <c r="AJ36" s="143">
        <f t="shared" si="24"/>
        <v>-2.3617349365508995E-4</v>
      </c>
      <c r="AK36" s="143">
        <f t="shared" si="24"/>
        <v>-2.4550328236870936E-3</v>
      </c>
      <c r="AL36" s="143">
        <f t="shared" si="24"/>
        <v>-1.9703703981988831E-3</v>
      </c>
      <c r="AM36" s="143">
        <f t="shared" si="24"/>
        <v>2.439427326316843E-4</v>
      </c>
      <c r="AN36" s="143">
        <f t="shared" si="24"/>
        <v>-1.3949671670398121E-3</v>
      </c>
      <c r="AO36" s="143">
        <f t="shared" si="24"/>
        <v>-2.2698561500073757E-3</v>
      </c>
      <c r="AP36"/>
      <c r="AQ36" s="119" t="s">
        <v>39</v>
      </c>
      <c r="AR36" s="181">
        <v>0.16230466159389106</v>
      </c>
      <c r="AS36" s="119">
        <f>AR36*$AU$41</f>
        <v>0.16230466159389106</v>
      </c>
    </row>
    <row r="37" spans="1:47" ht="15.75">
      <c r="A37" s="128"/>
      <c r="B37" s="128" t="s">
        <v>114</v>
      </c>
      <c r="C37" s="140">
        <f>L28</f>
        <v>0</v>
      </c>
      <c r="D37" s="142">
        <f>L29</f>
        <v>-2.2556422884565659E-3</v>
      </c>
      <c r="E37" s="150">
        <f>L30</f>
        <v>-1.78893486274981E-3</v>
      </c>
      <c r="F37" s="143">
        <f>L31</f>
        <v>6.9798150397398936E-4</v>
      </c>
      <c r="G37" s="143">
        <f>L32</f>
        <v>-9.6079499802933566E-4</v>
      </c>
      <c r="H37" s="143">
        <f>L33</f>
        <v>-4.7144964254108059E-3</v>
      </c>
      <c r="I37" s="143">
        <f>L34</f>
        <v>-6.5981014512683008E-4</v>
      </c>
      <c r="J37" s="143">
        <f>L35</f>
        <v>-1.0717642055791893E-3</v>
      </c>
      <c r="K37" s="143">
        <f>L36</f>
        <v>3.6000849534949231E-3</v>
      </c>
      <c r="L37" s="151">
        <f>_xlfn.VAR.S(AV3:AV19)</f>
        <v>1.1281451202925249E-2</v>
      </c>
      <c r="M37" s="143">
        <f>_xlfn.COVARIANCE.S($AV$3:$AV$19,AW3:AW19)</f>
        <v>-6.6716021830916135E-3</v>
      </c>
      <c r="N37" s="143">
        <f>_xlfn.COVARIANCE.S($AV$3:$AV$4,AX3:AX4)</f>
        <v>9.5384342115692633E-2</v>
      </c>
      <c r="O37" s="143">
        <f t="shared" ref="O37:AO37" si="25">_xlfn.COVARIANCE.S($AV$3:$AV$19,AY3:AY19)</f>
        <v>2.016794719358647E-3</v>
      </c>
      <c r="P37" s="143">
        <f t="shared" si="25"/>
        <v>1.8498582218265192E-3</v>
      </c>
      <c r="Q37" s="143">
        <f t="shared" si="25"/>
        <v>3.9158787238012093E-3</v>
      </c>
      <c r="R37" s="143">
        <f t="shared" si="25"/>
        <v>-1.1613448298946527E-2</v>
      </c>
      <c r="S37" s="143">
        <f t="shared" si="25"/>
        <v>-2.305200778927808E-2</v>
      </c>
      <c r="T37" s="143">
        <f t="shared" si="25"/>
        <v>-1.1961140649683414E-4</v>
      </c>
      <c r="U37" s="143">
        <f t="shared" si="25"/>
        <v>6.5870863985125188E-4</v>
      </c>
      <c r="V37" s="143">
        <f t="shared" si="25"/>
        <v>-3.846492160924865E-3</v>
      </c>
      <c r="W37" s="143">
        <f t="shared" si="25"/>
        <v>-1.259414766588216E-3</v>
      </c>
      <c r="X37" s="143">
        <f t="shared" si="25"/>
        <v>-5.1752106906235453E-5</v>
      </c>
      <c r="Y37" s="143">
        <f t="shared" si="25"/>
        <v>6.5250530894483169E-4</v>
      </c>
      <c r="Z37" s="143">
        <f t="shared" si="25"/>
        <v>3.5689627762622586E-3</v>
      </c>
      <c r="AA37" s="143">
        <f t="shared" si="25"/>
        <v>2.9906555360232749E-3</v>
      </c>
      <c r="AB37" s="143">
        <f t="shared" si="25"/>
        <v>1.8331461437404585E-3</v>
      </c>
      <c r="AC37" s="143">
        <f t="shared" si="25"/>
        <v>-2.147765939376118E-3</v>
      </c>
      <c r="AD37" s="143">
        <f t="shared" si="25"/>
        <v>-8.347786993889504E-4</v>
      </c>
      <c r="AE37" s="143">
        <f t="shared" si="25"/>
        <v>1.9835850775671623E-3</v>
      </c>
      <c r="AF37" s="143">
        <f t="shared" si="25"/>
        <v>6.8001349907596152E-3</v>
      </c>
      <c r="AG37" s="143">
        <f t="shared" si="25"/>
        <v>8.3408227320350276E-3</v>
      </c>
      <c r="AH37" s="143">
        <f t="shared" si="25"/>
        <v>3.3507812586503833E-4</v>
      </c>
      <c r="AI37" s="143">
        <f t="shared" si="25"/>
        <v>4.8824696396627537E-3</v>
      </c>
      <c r="AJ37" s="143">
        <f t="shared" si="25"/>
        <v>-3.1473855167820069E-4</v>
      </c>
      <c r="AK37" s="143">
        <f t="shared" si="25"/>
        <v>-2.070225528509502E-3</v>
      </c>
      <c r="AL37" s="143">
        <f t="shared" si="25"/>
        <v>1.4000347651996028E-3</v>
      </c>
      <c r="AM37" s="143">
        <f t="shared" si="25"/>
        <v>3.5175195357713476E-3</v>
      </c>
      <c r="AN37" s="143">
        <f t="shared" si="25"/>
        <v>-2.5356158074116468E-3</v>
      </c>
      <c r="AO37" s="143">
        <f t="shared" si="25"/>
        <v>8.7240688210873138E-4</v>
      </c>
      <c r="AP37"/>
      <c r="AQ37" s="119" t="s">
        <v>46</v>
      </c>
      <c r="AR37" s="181">
        <v>2.2132790076932803E-2</v>
      </c>
      <c r="AS37" s="119">
        <f t="shared" ref="AS37:AS59" si="26">AR37*$AU$41</f>
        <v>2.2132790076932803E-2</v>
      </c>
    </row>
    <row r="38" spans="1:47" ht="15.75">
      <c r="A38" s="128"/>
      <c r="B38" s="128" t="s">
        <v>115</v>
      </c>
      <c r="C38" s="140">
        <f>M28</f>
        <v>5.398803802287129E-2</v>
      </c>
      <c r="D38" s="142">
        <f>M29</f>
        <v>7.4280245073836742E-3</v>
      </c>
      <c r="E38" s="143">
        <f>M30</f>
        <v>3.8595341566702818E-3</v>
      </c>
      <c r="F38" s="143">
        <f>M31</f>
        <v>6.1846391512514693E-3</v>
      </c>
      <c r="G38" s="143">
        <f>M32</f>
        <v>3.5921403086717524E-3</v>
      </c>
      <c r="H38" s="143">
        <f>M33</f>
        <v>-6.9441779635017221E-3</v>
      </c>
      <c r="I38" s="143">
        <f>M34</f>
        <v>3.8029250904795669E-2</v>
      </c>
      <c r="J38" s="143">
        <f>M35</f>
        <v>1.2704602793636515E-2</v>
      </c>
      <c r="K38" s="143">
        <f>M36</f>
        <v>-2.7976790659151735E-3</v>
      </c>
      <c r="L38" s="143">
        <f>M37</f>
        <v>-6.6716021830916135E-3</v>
      </c>
      <c r="M38" s="151">
        <f>_xlfn.VAR.S(AW3:AW19)</f>
        <v>3.3429370946248538E-2</v>
      </c>
      <c r="N38" s="143">
        <f>_xlfn.COVARIANCE.S($AW$3:$AW$4,AX3:AX4)</f>
        <v>-3.789564374018721E-2</v>
      </c>
      <c r="O38" s="143">
        <f>_xlfn.COVARIANCE.S($AW$3:$AW$19,AY3:AY19)</f>
        <v>3.4083958958421221E-3</v>
      </c>
      <c r="P38" s="143">
        <f t="shared" ref="P38:Q38" si="27">_xlfn.COVARIANCE.S($AW$3:$AW$19,AZ3:AZ19)</f>
        <v>1.156797134598064E-2</v>
      </c>
      <c r="Q38" s="143">
        <f t="shared" si="27"/>
        <v>6.6464354009869451E-3</v>
      </c>
      <c r="R38" s="143">
        <f>_xlfn.COVARIANCE.S($AW$3:$AW$19,BB3:BB19)</f>
        <v>3.1228799536683376E-2</v>
      </c>
      <c r="S38" s="143">
        <f t="shared" ref="S38:AO38" si="28">_xlfn.COVARIANCE.S($AW$3:$AW$19,BC3:BC19)</f>
        <v>3.3921822039935184E-2</v>
      </c>
      <c r="T38" s="143">
        <f t="shared" si="28"/>
        <v>2.828309467787964E-3</v>
      </c>
      <c r="U38" s="143">
        <f t="shared" si="28"/>
        <v>-3.1957550762182711E-3</v>
      </c>
      <c r="V38" s="143">
        <f t="shared" si="28"/>
        <v>1.7477846932101311E-2</v>
      </c>
      <c r="W38" s="143">
        <f t="shared" si="28"/>
        <v>9.1691494088320981E-3</v>
      </c>
      <c r="X38" s="143">
        <f t="shared" si="28"/>
        <v>2.1418821005329122E-3</v>
      </c>
      <c r="Y38" s="143">
        <f t="shared" si="28"/>
        <v>1.9964363142840331E-3</v>
      </c>
      <c r="Z38" s="143">
        <f t="shared" si="28"/>
        <v>7.5723782567181973E-3</v>
      </c>
      <c r="AA38" s="143">
        <f t="shared" si="28"/>
        <v>5.9278174445881503E-3</v>
      </c>
      <c r="AB38" s="143">
        <f t="shared" si="28"/>
        <v>4.0167055412092031E-3</v>
      </c>
      <c r="AC38" s="143">
        <f t="shared" si="28"/>
        <v>2.1640142542743378E-3</v>
      </c>
      <c r="AD38" s="143">
        <f t="shared" si="28"/>
        <v>1.0134119784725167E-2</v>
      </c>
      <c r="AE38" s="143">
        <f t="shared" si="28"/>
        <v>-1.1335970784526623E-2</v>
      </c>
      <c r="AF38" s="143">
        <f t="shared" si="28"/>
        <v>-1.3138283000649911E-2</v>
      </c>
      <c r="AG38" s="143">
        <f t="shared" si="28"/>
        <v>-6.8888787103322403E-3</v>
      </c>
      <c r="AH38" s="143">
        <f t="shared" si="28"/>
        <v>-3.2603280978858208E-3</v>
      </c>
      <c r="AI38" s="143">
        <f t="shared" si="28"/>
        <v>-1.1046035615592632E-2</v>
      </c>
      <c r="AJ38" s="143">
        <f t="shared" si="28"/>
        <v>2.3154604802001688E-3</v>
      </c>
      <c r="AK38" s="143">
        <f t="shared" si="28"/>
        <v>1.1008101144978027E-2</v>
      </c>
      <c r="AL38" s="143">
        <f t="shared" si="28"/>
        <v>6.473338123029645E-3</v>
      </c>
      <c r="AM38" s="143">
        <f t="shared" si="28"/>
        <v>-1.4353955457434475E-3</v>
      </c>
      <c r="AN38" s="143">
        <f t="shared" si="28"/>
        <v>1.2399601153465363E-4</v>
      </c>
      <c r="AO38" s="143">
        <f t="shared" si="28"/>
        <v>9.0893097183760603E-3</v>
      </c>
      <c r="AP38"/>
      <c r="AQ38" s="119" t="s">
        <v>48</v>
      </c>
      <c r="AR38" s="181">
        <v>1.619872108366466E-3</v>
      </c>
      <c r="AS38" s="119">
        <f t="shared" si="26"/>
        <v>1.619872108366466E-3</v>
      </c>
    </row>
    <row r="39" spans="1:47" ht="15.75">
      <c r="A39" s="128"/>
      <c r="B39" s="128" t="s">
        <v>116</v>
      </c>
      <c r="C39" s="135">
        <f>N28</f>
        <v>0</v>
      </c>
      <c r="D39" s="142">
        <f>N29</f>
        <v>-2.2568793063411322E-2</v>
      </c>
      <c r="E39" s="143">
        <f>N30</f>
        <v>-4.1869071704437669E-2</v>
      </c>
      <c r="F39" s="143">
        <f>N31</f>
        <v>4.5681439455241737E-2</v>
      </c>
      <c r="G39" s="143">
        <f>N32</f>
        <v>-6.6771704779559113E-2</v>
      </c>
      <c r="H39" s="143">
        <f>N33</f>
        <v>-0.22424558782145843</v>
      </c>
      <c r="I39" s="143">
        <f>N34</f>
        <v>-1.7753147098922027E-2</v>
      </c>
      <c r="J39" s="143">
        <f>N35</f>
        <v>-7.5689127774174414E-2</v>
      </c>
      <c r="K39" s="143">
        <f>N36</f>
        <v>4.4100568225256251E-2</v>
      </c>
      <c r="L39" s="143">
        <f>N37</f>
        <v>9.5384342115692633E-2</v>
      </c>
      <c r="M39" s="143">
        <f>N38</f>
        <v>-3.789564374018721E-2</v>
      </c>
      <c r="N39" s="151">
        <f>_xlfn.VAR.S(AX3:AX4)</f>
        <v>0.88859446998916658</v>
      </c>
      <c r="O39" s="143">
        <f>_xlfn.COVARIANCE.S($AX$3:$AX$4,AY3:AY4)</f>
        <v>0.18144679704672095</v>
      </c>
      <c r="P39" s="143">
        <f t="shared" ref="P39:Q39" si="29">_xlfn.COVARIANCE.S($AX$3:$AX$4,AZ3:AZ4)</f>
        <v>9.4142522340506962E-2</v>
      </c>
      <c r="Q39" s="143">
        <f t="shared" si="29"/>
        <v>9.7804930623325292E-2</v>
      </c>
      <c r="R39" s="143">
        <f>_xlfn.COVARIANCE.S($AX$3:$AX$4,BB3:BB4)</f>
        <v>-3.0896403310768622E-2</v>
      </c>
      <c r="S39" s="143">
        <f>_xlfn.COVARIANCE.S($AX$3:$AX$4,BC3:BC4)</f>
        <v>-0.37138248666679297</v>
      </c>
      <c r="T39" s="143">
        <f t="shared" ref="T39:AO39" si="30">_xlfn.COVARIANCE.S($AX$3:$AX$4,BD3:BD4)</f>
        <v>-1.4584619671360731E-2</v>
      </c>
      <c r="U39" s="143">
        <f t="shared" si="30"/>
        <v>-7.2517154498412228E-2</v>
      </c>
      <c r="V39" s="143">
        <f t="shared" si="30"/>
        <v>0.1319400159780767</v>
      </c>
      <c r="W39" s="143">
        <f t="shared" si="30"/>
        <v>6.2194227897291079E-2</v>
      </c>
      <c r="X39" s="143">
        <f t="shared" si="30"/>
        <v>-1.7081720427141348E-2</v>
      </c>
      <c r="Y39" s="143">
        <f t="shared" si="30"/>
        <v>0.26103442239280228</v>
      </c>
      <c r="Z39" s="143">
        <f t="shared" si="30"/>
        <v>0.15349931859770499</v>
      </c>
      <c r="AA39" s="143">
        <f t="shared" si="30"/>
        <v>0.31668801647283418</v>
      </c>
      <c r="AB39" s="143">
        <f t="shared" si="30"/>
        <v>1.2219196369087866E-2</v>
      </c>
      <c r="AC39" s="143">
        <f t="shared" si="30"/>
        <v>7.3675786457929215E-2</v>
      </c>
      <c r="AD39" s="143">
        <f t="shared" si="30"/>
        <v>0.1334517315547693</v>
      </c>
      <c r="AE39" s="143">
        <f t="shared" si="30"/>
        <v>-2.3659310441637982E-2</v>
      </c>
      <c r="AF39" s="143">
        <f t="shared" si="30"/>
        <v>0.32588576368393107</v>
      </c>
      <c r="AG39" s="143">
        <f t="shared" si="30"/>
        <v>0.37240676393650129</v>
      </c>
      <c r="AH39" s="143">
        <f t="shared" si="30"/>
        <v>2.7300084493276054E-2</v>
      </c>
      <c r="AI39" s="143">
        <f t="shared" si="30"/>
        <v>-1.8051940296033284E-2</v>
      </c>
      <c r="AJ39" s="143">
        <f t="shared" si="30"/>
        <v>-6.0833616585125094E-2</v>
      </c>
      <c r="AK39" s="143">
        <f t="shared" si="30"/>
        <v>5.2107068762726708E-2</v>
      </c>
      <c r="AL39" s="143">
        <f t="shared" si="30"/>
        <v>5.8562328466889045E-2</v>
      </c>
      <c r="AM39" s="143">
        <f t="shared" si="30"/>
        <v>-7.6339744912049437E-2</v>
      </c>
      <c r="AN39" s="143">
        <f t="shared" si="30"/>
        <v>0.14015047001171399</v>
      </c>
      <c r="AO39" s="143">
        <f t="shared" si="30"/>
        <v>-6.4176074870158278E-2</v>
      </c>
      <c r="AP39"/>
      <c r="AQ39" s="119" t="s">
        <v>51</v>
      </c>
      <c r="AR39" s="181">
        <v>4.3660266282770303E-2</v>
      </c>
      <c r="AS39" s="119">
        <f t="shared" si="26"/>
        <v>4.3660266282770303E-2</v>
      </c>
    </row>
    <row r="40" spans="1:47" ht="15.75">
      <c r="A40" s="128"/>
      <c r="B40" s="128" t="s">
        <v>117</v>
      </c>
      <c r="C40" s="140">
        <f>O28</f>
        <v>0</v>
      </c>
      <c r="D40" s="142">
        <f>O29</f>
        <v>8.1102778493179542E-4</v>
      </c>
      <c r="E40" s="143">
        <f>O30</f>
        <v>1.5433528719880293E-3</v>
      </c>
      <c r="F40" s="143">
        <f>O31</f>
        <v>1.0614447641109658E-3</v>
      </c>
      <c r="G40" s="143">
        <f>O32</f>
        <v>-1.3020527664264915E-4</v>
      </c>
      <c r="H40" s="143">
        <f>O33</f>
        <v>-1.3573059154220236E-3</v>
      </c>
      <c r="I40" s="143">
        <f>O34</f>
        <v>-3.9306418756449268E-5</v>
      </c>
      <c r="J40" s="143">
        <f>O35</f>
        <v>1.2882608379334716E-3</v>
      </c>
      <c r="K40" s="143">
        <f>O36</f>
        <v>8.7658814185224401E-5</v>
      </c>
      <c r="L40" s="143">
        <f>O37</f>
        <v>2.016794719358647E-3</v>
      </c>
      <c r="M40" s="143">
        <f>O38</f>
        <v>3.4083958958421221E-3</v>
      </c>
      <c r="N40" s="143">
        <f>O39</f>
        <v>0.18144679704672095</v>
      </c>
      <c r="O40" s="151">
        <f>_xlfn.VAR.S(AY3:AY19)</f>
        <v>7.4660951744233827E-3</v>
      </c>
      <c r="P40" s="143">
        <f>_xlfn.COVARIANCE.S($AY$3:$AY$19,AZ3:AZ19)</f>
        <v>3.6583116494732582E-3</v>
      </c>
      <c r="Q40" s="143">
        <f t="shared" ref="Q40" si="31">_xlfn.COVARIANCE.S($AY$3:$AY$19,BA3:BA19)</f>
        <v>1.7494553049932379E-3</v>
      </c>
      <c r="R40" s="143">
        <f>_xlfn.COVARIANCE.S($AY$3:$AY$19,BB3:BB19)</f>
        <v>6.9057327137292202E-3</v>
      </c>
      <c r="S40" s="143">
        <f t="shared" ref="S40:AO40" si="32">_xlfn.COVARIANCE.S($AY$3:$AY$19,BC3:BC19)</f>
        <v>4.0776204206186602E-3</v>
      </c>
      <c r="T40" s="143">
        <f t="shared" si="32"/>
        <v>6.9839034492634148E-6</v>
      </c>
      <c r="U40" s="143">
        <f t="shared" si="32"/>
        <v>-2.1782452760092928E-3</v>
      </c>
      <c r="V40" s="143">
        <f t="shared" si="32"/>
        <v>2.0161732017432788E-3</v>
      </c>
      <c r="W40" s="143">
        <f t="shared" si="32"/>
        <v>-5.4600295474938748E-3</v>
      </c>
      <c r="X40" s="143">
        <f t="shared" si="32"/>
        <v>-1.4773927671901736E-4</v>
      </c>
      <c r="Y40" s="143">
        <f t="shared" si="32"/>
        <v>2.1480934482247947E-3</v>
      </c>
      <c r="Z40" s="143">
        <f t="shared" si="32"/>
        <v>6.2570580701581547E-3</v>
      </c>
      <c r="AA40" s="143">
        <f t="shared" si="32"/>
        <v>6.8726254087509708E-3</v>
      </c>
      <c r="AB40" s="143">
        <f t="shared" si="32"/>
        <v>1.4557576289373935E-3</v>
      </c>
      <c r="AC40" s="143">
        <f t="shared" si="32"/>
        <v>3.4367468872571281E-3</v>
      </c>
      <c r="AD40" s="143">
        <f t="shared" si="32"/>
        <v>3.6914005216838672E-3</v>
      </c>
      <c r="AE40" s="143">
        <f t="shared" si="32"/>
        <v>-1.9565436043124363E-3</v>
      </c>
      <c r="AF40" s="143">
        <f t="shared" si="32"/>
        <v>-1.256105916775102E-3</v>
      </c>
      <c r="AG40" s="143">
        <f t="shared" si="32"/>
        <v>4.6027138183784183E-5</v>
      </c>
      <c r="AH40" s="143">
        <f t="shared" si="32"/>
        <v>6.17110789657514E-4</v>
      </c>
      <c r="AI40" s="143">
        <f t="shared" si="32"/>
        <v>-3.0322917961456788E-3</v>
      </c>
      <c r="AJ40" s="143">
        <f t="shared" si="32"/>
        <v>-4.9232987194846179E-4</v>
      </c>
      <c r="AK40" s="143">
        <f t="shared" si="32"/>
        <v>6.6505965248299754E-3</v>
      </c>
      <c r="AL40" s="143">
        <f t="shared" si="32"/>
        <v>6.3201456309251126E-3</v>
      </c>
      <c r="AM40" s="143">
        <f t="shared" si="32"/>
        <v>-2.2800502751552109E-6</v>
      </c>
      <c r="AN40" s="143">
        <f t="shared" si="32"/>
        <v>5.5784201733802394E-4</v>
      </c>
      <c r="AO40" s="143">
        <f t="shared" si="32"/>
        <v>3.3800706252990038E-3</v>
      </c>
      <c r="AP40"/>
      <c r="AQ40" s="119" t="s">
        <v>53</v>
      </c>
      <c r="AR40" s="181">
        <v>3.531562623190198E-2</v>
      </c>
      <c r="AS40" s="119">
        <f t="shared" si="26"/>
        <v>3.531562623190198E-2</v>
      </c>
    </row>
    <row r="41" spans="1:47" ht="15.75">
      <c r="A41" s="128"/>
      <c r="B41" s="128" t="s">
        <v>118</v>
      </c>
      <c r="C41" s="261">
        <f>P29</f>
        <v>2.5915136004395268E-3</v>
      </c>
      <c r="D41" s="142">
        <f>P29</f>
        <v>2.5915136004395268E-3</v>
      </c>
      <c r="E41" s="143">
        <f>P30</f>
        <v>-3.7702604353130075E-3</v>
      </c>
      <c r="F41" s="143">
        <f>P31</f>
        <v>5.3204383193454288E-3</v>
      </c>
      <c r="G41" s="143">
        <f>P32</f>
        <v>-3.0642714381186206E-4</v>
      </c>
      <c r="H41" s="143">
        <f>P33</f>
        <v>-1.8698526641816014E-2</v>
      </c>
      <c r="I41" s="143">
        <f>P34</f>
        <v>2.2678318664367741E-2</v>
      </c>
      <c r="J41" s="143">
        <f>P35</f>
        <v>1.1540311025770971E-2</v>
      </c>
      <c r="K41" s="143">
        <f>P36</f>
        <v>-1.15754004366471E-3</v>
      </c>
      <c r="L41" s="143">
        <f>P37</f>
        <v>1.8498582218265192E-3</v>
      </c>
      <c r="M41" s="143">
        <f>P38</f>
        <v>1.156797134598064E-2</v>
      </c>
      <c r="N41" s="143">
        <f>P39</f>
        <v>9.4142522340506962E-2</v>
      </c>
      <c r="O41" s="143">
        <f>P40</f>
        <v>3.6583116494732582E-3</v>
      </c>
      <c r="P41" s="151">
        <f>_xlfn.VAR.S(AZ3:AZ19)</f>
        <v>1.7894601587009347E-2</v>
      </c>
      <c r="Q41" s="143">
        <f>_xlfn.COVARIANCE.S($AZ$3:$AZ$19,BA3:BA19)</f>
        <v>3.7293752905663636E-3</v>
      </c>
      <c r="R41" s="143">
        <f>_xlfn.COVARIANCE.S($AZ$3:$AZ$19,BB3:BB19)</f>
        <v>1.5798439945186999E-2</v>
      </c>
      <c r="S41" s="143">
        <f t="shared" ref="S41:AO41" si="33">_xlfn.COVARIANCE.S($AZ$3:$AZ$19,BC3:BC19)</f>
        <v>3.6348728239551424E-2</v>
      </c>
      <c r="T41" s="143">
        <f t="shared" si="33"/>
        <v>1.8699044729100559E-3</v>
      </c>
      <c r="U41" s="143">
        <f t="shared" si="33"/>
        <v>-1.2959742275551107E-3</v>
      </c>
      <c r="V41" s="143">
        <f t="shared" si="33"/>
        <v>1.6023129673766939E-2</v>
      </c>
      <c r="W41" s="143">
        <f t="shared" si="33"/>
        <v>9.5213859461817964E-3</v>
      </c>
      <c r="X41" s="143">
        <f t="shared" si="33"/>
        <v>1.6796902773652353E-3</v>
      </c>
      <c r="Y41" s="143">
        <f t="shared" si="33"/>
        <v>1.9955034330328739E-3</v>
      </c>
      <c r="Z41" s="143">
        <f t="shared" si="33"/>
        <v>6.6348309150742425E-3</v>
      </c>
      <c r="AA41" s="143">
        <f t="shared" si="33"/>
        <v>6.725450977806878E-3</v>
      </c>
      <c r="AB41" s="143">
        <f t="shared" si="33"/>
        <v>2.5270442503494191E-3</v>
      </c>
      <c r="AC41" s="143">
        <f t="shared" si="33"/>
        <v>1.5952136207432392E-3</v>
      </c>
      <c r="AD41" s="143">
        <f t="shared" si="33"/>
        <v>3.4370748134179086E-3</v>
      </c>
      <c r="AE41" s="143">
        <f t="shared" si="33"/>
        <v>-5.6995923372849741E-3</v>
      </c>
      <c r="AF41" s="143">
        <f t="shared" si="33"/>
        <v>6.9957936100070355E-3</v>
      </c>
      <c r="AG41" s="143">
        <f t="shared" si="33"/>
        <v>-5.2299433443011127E-3</v>
      </c>
      <c r="AH41" s="143">
        <f t="shared" si="33"/>
        <v>-2.8471348810386863E-3</v>
      </c>
      <c r="AI41" s="143">
        <f t="shared" si="33"/>
        <v>-9.4188802541925003E-4</v>
      </c>
      <c r="AJ41" s="143">
        <f t="shared" si="33"/>
        <v>6.9034475544564545E-4</v>
      </c>
      <c r="AK41" s="143">
        <f t="shared" si="33"/>
        <v>7.1007500665964225E-4</v>
      </c>
      <c r="AL41" s="143">
        <f t="shared" si="33"/>
        <v>1.3902935148703995E-3</v>
      </c>
      <c r="AM41" s="143">
        <f t="shared" si="33"/>
        <v>2.9534203399193943E-3</v>
      </c>
      <c r="AN41" s="143">
        <f t="shared" si="33"/>
        <v>2.1342763203218706E-3</v>
      </c>
      <c r="AO41" s="143">
        <f t="shared" si="33"/>
        <v>6.5659413744284939E-3</v>
      </c>
      <c r="AP41"/>
      <c r="AQ41" s="119" t="s">
        <v>24</v>
      </c>
      <c r="AR41" s="181">
        <v>4.4386581287160928E-2</v>
      </c>
      <c r="AS41" s="119">
        <f t="shared" si="26"/>
        <v>4.4386581287160928E-2</v>
      </c>
      <c r="AU41" s="119">
        <f>1/AR59</f>
        <v>1</v>
      </c>
    </row>
    <row r="42" spans="1:47" ht="15.75">
      <c r="B42" s="128" t="s">
        <v>119</v>
      </c>
      <c r="C42" s="140">
        <f>Q28</f>
        <v>3.329226291024176E-2</v>
      </c>
      <c r="D42" s="142">
        <f>Q29</f>
        <v>8.0176467191887227E-4</v>
      </c>
      <c r="E42" s="143">
        <f>Q30</f>
        <v>3.4942383111587465E-3</v>
      </c>
      <c r="F42" s="143">
        <f>Q31</f>
        <v>4.8979943671029645E-3</v>
      </c>
      <c r="G42" s="143">
        <f>Q32</f>
        <v>1.5883241347821129E-3</v>
      </c>
      <c r="H42" s="143">
        <f>Q33</f>
        <v>-1.2487338844330457E-2</v>
      </c>
      <c r="I42" s="143">
        <f>Q34</f>
        <v>1.8874390644380321E-2</v>
      </c>
      <c r="J42" s="143">
        <f>Q35</f>
        <v>6.5098533986274422E-3</v>
      </c>
      <c r="K42" s="143">
        <f>Q36</f>
        <v>4.8556085726789855E-4</v>
      </c>
      <c r="L42" s="143">
        <f>Q37</f>
        <v>3.9158787238012093E-3</v>
      </c>
      <c r="M42" s="143">
        <f>Q38</f>
        <v>6.6464354009869451E-3</v>
      </c>
      <c r="N42" s="143">
        <f>Q39</f>
        <v>9.7804930623325292E-2</v>
      </c>
      <c r="O42" s="143">
        <f>Q40</f>
        <v>1.7494553049932379E-3</v>
      </c>
      <c r="P42" s="143">
        <f>Q41</f>
        <v>3.7293752905663636E-3</v>
      </c>
      <c r="Q42" s="151">
        <f>_xlfn.VAR.S(BA3:BA19)</f>
        <v>1.4547457546547573E-2</v>
      </c>
      <c r="R42" s="143">
        <f>_xlfn.COVARIANCE.S($BA$3:$BA$19,BB3:BB19)</f>
        <v>3.0857057303149298E-3</v>
      </c>
      <c r="S42" s="143">
        <f>_xlfn.COVARIANCE.S($BA$3:$BA$19,BC3:BC19)</f>
        <v>-8.0985574013883906E-3</v>
      </c>
      <c r="T42" s="143">
        <f t="shared" ref="T42:AO42" si="34">_xlfn.COVARIANCE.S($BA$3:$BA$19,BD3:BD19)</f>
        <v>9.9265414474018201E-4</v>
      </c>
      <c r="U42" s="143">
        <f t="shared" si="34"/>
        <v>2.090393425281297E-3</v>
      </c>
      <c r="V42" s="143">
        <f t="shared" si="34"/>
        <v>9.8851372261776985E-3</v>
      </c>
      <c r="W42" s="143">
        <f t="shared" si="34"/>
        <v>1.2461803809685828E-2</v>
      </c>
      <c r="X42" s="143">
        <f t="shared" si="34"/>
        <v>4.4853013187859826E-3</v>
      </c>
      <c r="Y42" s="143">
        <f t="shared" si="34"/>
        <v>6.9794826868132863E-3</v>
      </c>
      <c r="Z42" s="143">
        <f t="shared" si="34"/>
        <v>1.0117445223021826E-2</v>
      </c>
      <c r="AA42" s="143">
        <f t="shared" si="34"/>
        <v>1.1881477317114432E-2</v>
      </c>
      <c r="AB42" s="143">
        <f t="shared" si="34"/>
        <v>3.295283311161106E-3</v>
      </c>
      <c r="AC42" s="143">
        <f t="shared" si="34"/>
        <v>1.5473723116021787E-3</v>
      </c>
      <c r="AD42" s="143">
        <f t="shared" si="34"/>
        <v>2.8710145263854993E-3</v>
      </c>
      <c r="AE42" s="143">
        <f t="shared" si="34"/>
        <v>-5.3200425441876477E-3</v>
      </c>
      <c r="AF42" s="143">
        <f t="shared" si="34"/>
        <v>-1.2622699927002563E-3</v>
      </c>
      <c r="AG42" s="143">
        <f t="shared" si="34"/>
        <v>-4.418124090144312E-3</v>
      </c>
      <c r="AH42" s="143">
        <f t="shared" si="34"/>
        <v>-3.6399572805015479E-3</v>
      </c>
      <c r="AI42" s="143">
        <f t="shared" si="34"/>
        <v>-2.598336230753345E-3</v>
      </c>
      <c r="AJ42" s="143">
        <f t="shared" si="34"/>
        <v>2.8515253592668495E-3</v>
      </c>
      <c r="AK42" s="143">
        <f t="shared" si="34"/>
        <v>-2.6110665481139631E-3</v>
      </c>
      <c r="AL42" s="143">
        <f t="shared" si="34"/>
        <v>-2.9090540230884716E-3</v>
      </c>
      <c r="AM42" s="143">
        <f t="shared" si="34"/>
        <v>4.8735437674962741E-3</v>
      </c>
      <c r="AN42" s="143">
        <f t="shared" si="34"/>
        <v>5.1954637887464614E-3</v>
      </c>
      <c r="AO42" s="143">
        <f t="shared" si="34"/>
        <v>5.5901783981964276E-3</v>
      </c>
      <c r="AP42"/>
      <c r="AQ42" s="119" t="s">
        <v>56</v>
      </c>
      <c r="AR42" s="181">
        <v>5.1870837324511095E-2</v>
      </c>
      <c r="AS42" s="119">
        <f t="shared" si="26"/>
        <v>5.1870837324511095E-2</v>
      </c>
    </row>
    <row r="43" spans="1:47" ht="15.75">
      <c r="B43" s="128" t="s">
        <v>120</v>
      </c>
      <c r="C43" s="140">
        <f>R28</f>
        <v>4.4386581287160928E-2</v>
      </c>
      <c r="D43" s="142">
        <f>R29</f>
        <v>9.5099469542652935E-3</v>
      </c>
      <c r="E43" s="143">
        <f>R30</f>
        <v>1.5413627922668447E-4</v>
      </c>
      <c r="F43" s="143">
        <f>R31</f>
        <v>7.88979324569976E-3</v>
      </c>
      <c r="G43" s="143">
        <f>R32</f>
        <v>2.348009640327713E-3</v>
      </c>
      <c r="H43" s="143">
        <f>R33</f>
        <v>5.3027125949068115E-3</v>
      </c>
      <c r="I43" s="143">
        <f>R34</f>
        <v>4.9534069566545949E-2</v>
      </c>
      <c r="J43" s="143">
        <f>R35</f>
        <v>1.774580789646342E-2</v>
      </c>
      <c r="K43" s="143">
        <f>R36</f>
        <v>-9.5048140281323874E-3</v>
      </c>
      <c r="L43" s="143">
        <f>R37</f>
        <v>-1.1613448298946527E-2</v>
      </c>
      <c r="M43" s="143">
        <f>R38</f>
        <v>3.1228799536683376E-2</v>
      </c>
      <c r="N43" s="143">
        <f>R39</f>
        <v>-3.0896403310768622E-2</v>
      </c>
      <c r="O43" s="143">
        <f>R40</f>
        <v>6.9057327137292202E-3</v>
      </c>
      <c r="P43" s="143">
        <f>R41</f>
        <v>1.5798439945186999E-2</v>
      </c>
      <c r="Q43" s="143">
        <f>R42</f>
        <v>3.0857057303149298E-3</v>
      </c>
      <c r="R43" s="151">
        <f>_xlfn.VAR.S(BB3:BB19)</f>
        <v>8.6990804739253233E-2</v>
      </c>
      <c r="S43" s="143">
        <f>_xlfn.COVARIANCE.S($BB$3:$BB$19,BC3:BC19)</f>
        <v>0.15725017819605047</v>
      </c>
      <c r="T43" s="143">
        <f t="shared" ref="T43:AO43" si="35">_xlfn.COVARIANCE.S($BB$3:$BB$19,BD3:BD19)</f>
        <v>3.9752400526818594E-3</v>
      </c>
      <c r="U43" s="143">
        <f t="shared" si="35"/>
        <v>-6.2293975148090767E-3</v>
      </c>
      <c r="V43" s="143">
        <f t="shared" si="35"/>
        <v>2.1152415557669745E-2</v>
      </c>
      <c r="W43" s="143">
        <f t="shared" si="35"/>
        <v>3.9946695813681869E-2</v>
      </c>
      <c r="X43" s="143">
        <f t="shared" si="35"/>
        <v>-4.0755915530330577E-3</v>
      </c>
      <c r="Y43" s="143">
        <f t="shared" si="35"/>
        <v>-6.3225395227317995E-4</v>
      </c>
      <c r="Z43" s="143">
        <f t="shared" si="35"/>
        <v>1.4994296920621288E-2</v>
      </c>
      <c r="AA43" s="143">
        <f t="shared" si="35"/>
        <v>-2.210165428777975E-4</v>
      </c>
      <c r="AB43" s="143">
        <f t="shared" si="35"/>
        <v>6.8344283089011521E-3</v>
      </c>
      <c r="AC43" s="143">
        <f t="shared" si="35"/>
        <v>4.2367816579544542E-3</v>
      </c>
      <c r="AD43" s="143">
        <f t="shared" si="35"/>
        <v>1.0708727830894278E-2</v>
      </c>
      <c r="AE43" s="143">
        <f t="shared" si="35"/>
        <v>-1.6847743227422406E-2</v>
      </c>
      <c r="AF43" s="143">
        <f t="shared" si="35"/>
        <v>-3.7099154067935223E-3</v>
      </c>
      <c r="AG43" s="143">
        <f t="shared" si="35"/>
        <v>-2.6149189441184474E-2</v>
      </c>
      <c r="AH43" s="143">
        <f t="shared" si="35"/>
        <v>-3.5599759411762211E-3</v>
      </c>
      <c r="AI43" s="143">
        <f t="shared" si="35"/>
        <v>-2.0433839387733986E-2</v>
      </c>
      <c r="AJ43" s="143">
        <f t="shared" si="35"/>
        <v>-5.0012603080446319E-3</v>
      </c>
      <c r="AK43" s="143">
        <f t="shared" si="35"/>
        <v>1.4426688849821446E-2</v>
      </c>
      <c r="AL43" s="143">
        <f t="shared" si="35"/>
        <v>6.4585342554560627E-3</v>
      </c>
      <c r="AM43" s="143">
        <f t="shared" si="35"/>
        <v>-3.8037796874635108E-3</v>
      </c>
      <c r="AN43" s="143">
        <f t="shared" si="35"/>
        <v>1.6990926480262879E-3</v>
      </c>
      <c r="AO43" s="143">
        <f t="shared" si="35"/>
        <v>4.632593040583919E-3</v>
      </c>
      <c r="AP43"/>
      <c r="AQ43" s="119" t="s">
        <v>59</v>
      </c>
      <c r="AR43" s="181">
        <v>2.7245288291662391E-3</v>
      </c>
      <c r="AS43" s="119">
        <f t="shared" si="26"/>
        <v>2.7245288291662391E-3</v>
      </c>
    </row>
    <row r="44" spans="1:47" ht="15.75">
      <c r="B44" s="128" t="s">
        <v>121</v>
      </c>
      <c r="C44" s="140">
        <f>S28</f>
        <v>0</v>
      </c>
      <c r="D44" s="143">
        <f>S29</f>
        <v>2.1034676508959686E-2</v>
      </c>
      <c r="E44" s="143">
        <f>S30</f>
        <v>-1.9168140499835031E-2</v>
      </c>
      <c r="F44" s="143">
        <f>S31</f>
        <v>1.8286324242945087E-2</v>
      </c>
      <c r="G44" s="143">
        <f>S32</f>
        <v>1.2542895726369283E-2</v>
      </c>
      <c r="H44" s="143">
        <f>S33</f>
        <v>-2.1899784080964067E-2</v>
      </c>
      <c r="I44" s="143">
        <f>S34</f>
        <v>6.6515442644688921E-2</v>
      </c>
      <c r="J44" s="143">
        <f>S35</f>
        <v>2.4472242226609493E-2</v>
      </c>
      <c r="K44" s="143">
        <f>S36</f>
        <v>-1.7375940954211293E-2</v>
      </c>
      <c r="L44" s="143">
        <f>S37</f>
        <v>-2.305200778927808E-2</v>
      </c>
      <c r="M44" s="143">
        <f>S38</f>
        <v>3.3921822039935184E-2</v>
      </c>
      <c r="N44" s="143">
        <f>S39</f>
        <v>-0.37138248666679297</v>
      </c>
      <c r="O44" s="143">
        <f>S40</f>
        <v>4.0776204206186602E-3</v>
      </c>
      <c r="P44" s="143">
        <f>S41</f>
        <v>3.6348728239551424E-2</v>
      </c>
      <c r="Q44" s="143">
        <f>S42</f>
        <v>-8.0985574013883906E-3</v>
      </c>
      <c r="R44" s="143">
        <f>S43</f>
        <v>0.15725017819605047</v>
      </c>
      <c r="S44" s="151">
        <f>_xlfn.VAR.S(BC3:BC19)</f>
        <v>0.48180977519115958</v>
      </c>
      <c r="T44" s="143">
        <f>_xlfn.COVARIANCE.S($BC$3:$BC$19,BD3:BD19)</f>
        <v>7.9270264731956617E-3</v>
      </c>
      <c r="U44" s="143">
        <f>_xlfn.COVARIANCE.S($BC$3:$BC$19,BE3:BE19)</f>
        <v>2.8012935612117228E-3</v>
      </c>
      <c r="V44" s="143">
        <f t="shared" ref="V44:AO44" si="36">_xlfn.COVARIANCE.S($BC$3:$BC$19,BF3:BF19)</f>
        <v>5.4427472641686007E-2</v>
      </c>
      <c r="W44" s="143">
        <f t="shared" si="36"/>
        <v>0.10154202361360712</v>
      </c>
      <c r="X44" s="143">
        <f t="shared" si="36"/>
        <v>-6.8078941348296926E-3</v>
      </c>
      <c r="Y44" s="143">
        <f t="shared" si="36"/>
        <v>2.2224435228873837E-3</v>
      </c>
      <c r="Z44" s="143">
        <f t="shared" si="36"/>
        <v>1.5823621330891963E-2</v>
      </c>
      <c r="AA44" s="143">
        <f t="shared" si="36"/>
        <v>-1.6157252727837149E-2</v>
      </c>
      <c r="AB44" s="143">
        <f t="shared" si="36"/>
        <v>3.0350662448760425E-2</v>
      </c>
      <c r="AC44" s="143">
        <f t="shared" si="36"/>
        <v>1.8394987406324358E-2</v>
      </c>
      <c r="AD44" s="143">
        <f t="shared" si="36"/>
        <v>2.4561603985522845E-2</v>
      </c>
      <c r="AE44" s="143">
        <f t="shared" si="36"/>
        <v>-2.5064120912609501E-2</v>
      </c>
      <c r="AF44" s="143">
        <f t="shared" si="36"/>
        <v>3.8431964746272959E-2</v>
      </c>
      <c r="AG44" s="143">
        <f t="shared" si="36"/>
        <v>-4.0364887313086788E-2</v>
      </c>
      <c r="AH44" s="143">
        <f t="shared" si="36"/>
        <v>-2.0249222492615439E-2</v>
      </c>
      <c r="AI44" s="143">
        <f t="shared" si="36"/>
        <v>-3.5122897520366923E-2</v>
      </c>
      <c r="AJ44" s="143">
        <f t="shared" si="36"/>
        <v>1.1572238394279887E-3</v>
      </c>
      <c r="AK44" s="143">
        <f t="shared" si="36"/>
        <v>3.0114224552600672E-2</v>
      </c>
      <c r="AL44" s="143">
        <f t="shared" si="36"/>
        <v>9.9874173214360464E-3</v>
      </c>
      <c r="AM44" s="143">
        <f t="shared" si="36"/>
        <v>-3.0347665662749353E-3</v>
      </c>
      <c r="AN44" s="143">
        <f t="shared" si="36"/>
        <v>-1.4282069637166443E-3</v>
      </c>
      <c r="AO44" s="143">
        <f t="shared" si="36"/>
        <v>-2.01594073103628E-3</v>
      </c>
      <c r="AP44"/>
      <c r="AQ44" s="119" t="s">
        <v>61</v>
      </c>
      <c r="AR44" s="181">
        <v>1.7155182750313896E-2</v>
      </c>
      <c r="AS44" s="119">
        <f t="shared" si="26"/>
        <v>1.7155182750313896E-2</v>
      </c>
    </row>
    <row r="45" spans="1:47" ht="15.75">
      <c r="B45" s="128" t="s">
        <v>122</v>
      </c>
      <c r="C45" s="140">
        <f>T28</f>
        <v>0.16230466159389106</v>
      </c>
      <c r="D45" s="143">
        <f>T29</f>
        <v>6.1874054269048489E-4</v>
      </c>
      <c r="E45" s="143">
        <f>T30</f>
        <v>-3.7046056660916668E-4</v>
      </c>
      <c r="F45" s="143">
        <f>T31</f>
        <v>9.9588519209176216E-4</v>
      </c>
      <c r="G45" s="143">
        <f>T32</f>
        <v>4.0914447514485051E-4</v>
      </c>
      <c r="H45" s="143">
        <f>T33</f>
        <v>-2.242374325637053E-3</v>
      </c>
      <c r="I45" s="143">
        <f>T34</f>
        <v>4.6316486312743058E-3</v>
      </c>
      <c r="J45" s="143">
        <f>T35</f>
        <v>2.1452583866312658E-3</v>
      </c>
      <c r="K45" s="143">
        <f>T36</f>
        <v>-3.2622967526550073E-4</v>
      </c>
      <c r="L45" s="143">
        <f>T37</f>
        <v>-1.1961140649683414E-4</v>
      </c>
      <c r="M45" s="143">
        <f>T38</f>
        <v>2.828309467787964E-3</v>
      </c>
      <c r="N45" s="143">
        <f>T39</f>
        <v>-1.4584619671360731E-2</v>
      </c>
      <c r="O45" s="143">
        <f>T40</f>
        <v>6.9839034492634148E-6</v>
      </c>
      <c r="P45" s="143">
        <f>T41</f>
        <v>1.8699044729100559E-3</v>
      </c>
      <c r="Q45" s="143">
        <f>T42</f>
        <v>9.9265414474018201E-4</v>
      </c>
      <c r="R45" s="143">
        <f>T43</f>
        <v>3.9752400526818594E-3</v>
      </c>
      <c r="S45" s="143">
        <f>T44</f>
        <v>7.9270264731956617E-3</v>
      </c>
      <c r="T45" s="151">
        <f>_xlfn.VAR.S(BD3:BD19)</f>
        <v>5.6567372979970487E-4</v>
      </c>
      <c r="U45" s="143">
        <f>_xlfn.COVARIANCE.S(BD3:BD19,BE3:BE19)</f>
        <v>-4.1306185129937551E-5</v>
      </c>
      <c r="V45" s="143">
        <f>_xlfn.COVARIANCE.S(BE3:BE19,BF3:BF19)</f>
        <v>1.6326943225750453E-3</v>
      </c>
      <c r="W45" s="143">
        <f t="shared" ref="W45:AO45" si="37">_xlfn.COVARIANCE.S(BF3:BF19,BG3:BG19)</f>
        <v>2.7053408245656187E-2</v>
      </c>
      <c r="X45" s="143">
        <f t="shared" si="37"/>
        <v>2.5729442586098091E-3</v>
      </c>
      <c r="Y45" s="143">
        <f t="shared" si="37"/>
        <v>4.2165869592822314E-3</v>
      </c>
      <c r="Z45" s="143">
        <f t="shared" si="37"/>
        <v>1.0632472371098751E-2</v>
      </c>
      <c r="AA45" s="143">
        <f t="shared" si="37"/>
        <v>1.2559248397424316E-2</v>
      </c>
      <c r="AB45" s="143">
        <f t="shared" si="37"/>
        <v>4.2581044531190054E-3</v>
      </c>
      <c r="AC45" s="143">
        <f t="shared" si="37"/>
        <v>3.2051003449145295E-3</v>
      </c>
      <c r="AD45" s="143">
        <f t="shared" si="37"/>
        <v>3.670742147409953E-3</v>
      </c>
      <c r="AE45" s="143">
        <f t="shared" si="37"/>
        <v>-1.7013469939148372E-3</v>
      </c>
      <c r="AF45" s="143">
        <f t="shared" si="37"/>
        <v>4.3366985629518405E-3</v>
      </c>
      <c r="AG45" s="143">
        <f t="shared" si="37"/>
        <v>2.8402788032310375E-2</v>
      </c>
      <c r="AH45" s="143">
        <f t="shared" si="37"/>
        <v>-6.8371539801929636E-3</v>
      </c>
      <c r="AI45" s="143">
        <f t="shared" si="37"/>
        <v>6.0728846628530413E-3</v>
      </c>
      <c r="AJ45" s="143">
        <f t="shared" si="37"/>
        <v>-7.3394876053157012E-4</v>
      </c>
      <c r="AK45" s="143">
        <f t="shared" si="37"/>
        <v>1.3263389744474264E-3</v>
      </c>
      <c r="AL45" s="143">
        <f t="shared" si="37"/>
        <v>1.8151119776270104E-2</v>
      </c>
      <c r="AM45" s="143">
        <f t="shared" si="37"/>
        <v>-2.8362221642392964E-4</v>
      </c>
      <c r="AN45" s="143">
        <f t="shared" si="37"/>
        <v>2.6645048033439112E-3</v>
      </c>
      <c r="AO45" s="143">
        <f t="shared" si="37"/>
        <v>1.6460159205576503E-3</v>
      </c>
      <c r="AP45"/>
      <c r="AQ45" s="119" t="s">
        <v>63</v>
      </c>
      <c r="AR45" s="181">
        <v>3.1860549721581859E-2</v>
      </c>
      <c r="AS45" s="119">
        <f t="shared" si="26"/>
        <v>3.1860549721581859E-2</v>
      </c>
    </row>
    <row r="46" spans="1:47" ht="15.75">
      <c r="B46" s="128" t="s">
        <v>123</v>
      </c>
      <c r="C46" s="140">
        <f>U28</f>
        <v>2.1293446165383475E-2</v>
      </c>
      <c r="D46" s="143">
        <f>U29</f>
        <v>2.2991923817364821E-5</v>
      </c>
      <c r="E46" s="143">
        <f>U30</f>
        <v>2.1748949760558374E-4</v>
      </c>
      <c r="F46" s="143">
        <f>U31</f>
        <v>7.5477698365388249E-4</v>
      </c>
      <c r="G46" s="143">
        <f>U32</f>
        <v>1.9862150262190334E-3</v>
      </c>
      <c r="H46" s="143">
        <f>U33</f>
        <v>2.2690910782367209E-3</v>
      </c>
      <c r="I46" s="143">
        <f>U34</f>
        <v>-3.2983513625909444E-3</v>
      </c>
      <c r="J46" s="143">
        <f>U35</f>
        <v>-3.7644815227932504E-6</v>
      </c>
      <c r="K46" s="143">
        <f>U36</f>
        <v>-1.1522984553683782E-4</v>
      </c>
      <c r="L46" s="143">
        <f>U37</f>
        <v>6.5870863985125188E-4</v>
      </c>
      <c r="M46" s="143">
        <f>U38</f>
        <v>-3.1957550762182711E-3</v>
      </c>
      <c r="N46" s="143">
        <f>U39</f>
        <v>-7.2517154498412228E-2</v>
      </c>
      <c r="O46" s="143">
        <f>U40</f>
        <v>-2.1782452760092928E-3</v>
      </c>
      <c r="P46" s="143">
        <f>U41</f>
        <v>-1.2959742275551107E-3</v>
      </c>
      <c r="Q46" s="143">
        <f>U42</f>
        <v>2.090393425281297E-3</v>
      </c>
      <c r="R46" s="143">
        <f>U43</f>
        <v>-6.2293975148090767E-3</v>
      </c>
      <c r="S46" s="143">
        <f>U44</f>
        <v>2.8012935612117228E-3</v>
      </c>
      <c r="T46" s="143">
        <f>U45</f>
        <v>-4.1306185129937551E-5</v>
      </c>
      <c r="U46" s="151">
        <f>_xlfn.VAR.S(BE3:BE19)</f>
        <v>4.6079978967243891E-3</v>
      </c>
      <c r="V46" s="143">
        <f>_xlfn.COVARIANCE.S($BE$3:$BE$19,BF3:BF19)</f>
        <v>1.6326943225750453E-3</v>
      </c>
      <c r="W46" s="143">
        <f t="shared" ref="W46:AO46" si="38">_xlfn.COVARIANCE.S($BE$3:$BE$19,BG3:BG19)</f>
        <v>6.8325759708247509E-4</v>
      </c>
      <c r="X46" s="143">
        <f t="shared" si="38"/>
        <v>1.5844581472147319E-3</v>
      </c>
      <c r="Y46" s="143">
        <f t="shared" si="38"/>
        <v>7.569682636216807E-4</v>
      </c>
      <c r="Z46" s="143">
        <f t="shared" si="38"/>
        <v>-5.8389565022216904E-4</v>
      </c>
      <c r="AA46" s="143">
        <f t="shared" si="38"/>
        <v>1.5652803452654881E-3</v>
      </c>
      <c r="AB46" s="143">
        <f t="shared" si="38"/>
        <v>1.3969026168304545E-3</v>
      </c>
      <c r="AC46" s="143">
        <f t="shared" si="38"/>
        <v>3.0338372716803033E-4</v>
      </c>
      <c r="AD46" s="143">
        <f t="shared" si="38"/>
        <v>-8.287201221775771E-4</v>
      </c>
      <c r="AE46" s="143">
        <f t="shared" si="38"/>
        <v>6.1497372600378486E-4</v>
      </c>
      <c r="AF46" s="143">
        <f t="shared" si="38"/>
        <v>-8.1332770595481942E-4</v>
      </c>
      <c r="AG46" s="143">
        <f t="shared" si="38"/>
        <v>-2.6669939331038315E-3</v>
      </c>
      <c r="AH46" s="143">
        <f t="shared" si="38"/>
        <v>-1.842299529023497E-3</v>
      </c>
      <c r="AI46" s="143">
        <f t="shared" si="38"/>
        <v>2.0756853453160252E-3</v>
      </c>
      <c r="AJ46" s="143">
        <f t="shared" si="38"/>
        <v>3.4640006033494894E-3</v>
      </c>
      <c r="AK46" s="143">
        <f t="shared" si="38"/>
        <v>-6.0735253097544148E-4</v>
      </c>
      <c r="AL46" s="143">
        <f t="shared" si="38"/>
        <v>-7.321239363348367E-4</v>
      </c>
      <c r="AM46" s="143">
        <f t="shared" si="38"/>
        <v>2.67531236856726E-3</v>
      </c>
      <c r="AN46" s="143">
        <f t="shared" si="38"/>
        <v>7.5988621184234508E-4</v>
      </c>
      <c r="AO46" s="143">
        <f t="shared" si="38"/>
        <v>1.6588616861294542E-3</v>
      </c>
      <c r="AP46"/>
      <c r="AQ46" s="119" t="s">
        <v>66</v>
      </c>
      <c r="AR46" s="181">
        <v>2.2190732545245388E-2</v>
      </c>
      <c r="AS46" s="119">
        <f t="shared" si="26"/>
        <v>2.2190732545245388E-2</v>
      </c>
    </row>
    <row r="47" spans="1:47" ht="15.75">
      <c r="B47" s="128" t="s">
        <v>124</v>
      </c>
      <c r="C47" s="140">
        <f>V28</f>
        <v>0</v>
      </c>
      <c r="D47" s="143">
        <f>V29</f>
        <v>5.3198629379712092E-3</v>
      </c>
      <c r="E47" s="143">
        <f>V30</f>
        <v>-3.2428466095112064E-4</v>
      </c>
      <c r="F47" s="143">
        <f>V31</f>
        <v>8.4510835660988777E-3</v>
      </c>
      <c r="G47" s="143">
        <f>V32</f>
        <v>2.6851166768612949E-3</v>
      </c>
      <c r="H47" s="143">
        <f>V33</f>
        <v>-2.2960933299749128E-2</v>
      </c>
      <c r="I47" s="143">
        <f>V34</f>
        <v>2.9838743249991171E-2</v>
      </c>
      <c r="J47" s="143">
        <f>V35</f>
        <v>1.3700695281224404E-2</v>
      </c>
      <c r="K47" s="143">
        <f>V36</f>
        <v>-3.2528396390749804E-3</v>
      </c>
      <c r="L47" s="143">
        <f>V37</f>
        <v>-3.846492160924865E-3</v>
      </c>
      <c r="M47" s="143">
        <f>V38</f>
        <v>1.7477846932101311E-2</v>
      </c>
      <c r="N47" s="143">
        <f>V39</f>
        <v>0.1319400159780767</v>
      </c>
      <c r="O47" s="143">
        <f>V40</f>
        <v>2.0161732017432788E-3</v>
      </c>
      <c r="P47" s="143">
        <f>V41</f>
        <v>1.6023129673766939E-2</v>
      </c>
      <c r="Q47" s="143">
        <f>V42</f>
        <v>9.8851372261776985E-3</v>
      </c>
      <c r="R47" s="143">
        <f>V43</f>
        <v>2.1152415557669745E-2</v>
      </c>
      <c r="S47" s="143">
        <f>V44</f>
        <v>5.4427472641686007E-2</v>
      </c>
      <c r="T47" s="143">
        <f>V45</f>
        <v>1.6326943225750453E-3</v>
      </c>
      <c r="U47" s="143">
        <f>V46</f>
        <v>1.6326943225750453E-3</v>
      </c>
      <c r="V47" s="151">
        <f>_xlfn.VAR.S(BF3:BF19)</f>
        <v>2.8696495846701222E-2</v>
      </c>
      <c r="W47" s="143">
        <f>_xlfn.COVARIANCE.S($BF$3:$BF$19,BG3:BG19)</f>
        <v>2.7053408245656187E-2</v>
      </c>
      <c r="X47" s="143">
        <f t="shared" ref="X47:AO47" si="39">_xlfn.COVARIANCE.S($BF$3:$BF$19,BH3:BH19)</f>
        <v>4.5328541315128425E-3</v>
      </c>
      <c r="Y47" s="143">
        <f t="shared" si="39"/>
        <v>7.0337237227235351E-3</v>
      </c>
      <c r="Z47" s="143">
        <f t="shared" si="39"/>
        <v>9.0456480259697887E-3</v>
      </c>
      <c r="AA47" s="143">
        <f t="shared" si="39"/>
        <v>1.2546287006984496E-2</v>
      </c>
      <c r="AB47" s="143">
        <f t="shared" si="39"/>
        <v>6.418264152958205E-3</v>
      </c>
      <c r="AC47" s="143">
        <f t="shared" si="39"/>
        <v>4.816369352431348E-3</v>
      </c>
      <c r="AD47" s="143">
        <f t="shared" si="39"/>
        <v>7.0216096846813184E-3</v>
      </c>
      <c r="AE47" s="143">
        <f t="shared" si="39"/>
        <v>-9.4414638743913586E-3</v>
      </c>
      <c r="AF47" s="143">
        <f t="shared" si="39"/>
        <v>1.066154186995818E-2</v>
      </c>
      <c r="AG47" s="143">
        <f t="shared" si="39"/>
        <v>-6.2007753413520269E-3</v>
      </c>
      <c r="AH47" s="143">
        <f t="shared" si="39"/>
        <v>-6.6617683119784814E-3</v>
      </c>
      <c r="AI47" s="143">
        <f t="shared" si="39"/>
        <v>-2.0198565511030642E-3</v>
      </c>
      <c r="AJ47" s="143">
        <f t="shared" si="39"/>
        <v>2.8779666086068099E-3</v>
      </c>
      <c r="AK47" s="143">
        <f t="shared" si="39"/>
        <v>2.6394790942223675E-3</v>
      </c>
      <c r="AL47" s="143">
        <f t="shared" si="39"/>
        <v>-1.2442346851337708E-3</v>
      </c>
      <c r="AM47" s="143">
        <f t="shared" si="39"/>
        <v>3.3571376536332596E-3</v>
      </c>
      <c r="AN47" s="143">
        <f t="shared" si="39"/>
        <v>7.9747948177401676E-3</v>
      </c>
      <c r="AO47" s="143">
        <f t="shared" si="39"/>
        <v>8.4796494909369184E-3</v>
      </c>
      <c r="AP47"/>
      <c r="AQ47" s="119" t="s">
        <v>26</v>
      </c>
      <c r="AR47" s="181">
        <v>2.111674218400467E-2</v>
      </c>
      <c r="AS47" s="119">
        <f t="shared" si="26"/>
        <v>2.111674218400467E-2</v>
      </c>
    </row>
    <row r="48" spans="1:47" ht="15.75">
      <c r="B48" s="128" t="s">
        <v>125</v>
      </c>
      <c r="C48" s="140">
        <f>W28</f>
        <v>1.619872108366466E-3</v>
      </c>
      <c r="D48" s="143">
        <f>W29</f>
        <v>5.890236073327745E-3</v>
      </c>
      <c r="E48" s="143">
        <f>W30</f>
        <v>-7.7284974275467896E-3</v>
      </c>
      <c r="F48" s="143">
        <f>W31</f>
        <v>8.7322506916640528E-3</v>
      </c>
      <c r="G48" s="143">
        <f>W32</f>
        <v>1.5608105721943322E-3</v>
      </c>
      <c r="H48" s="143">
        <f>W33</f>
        <v>-2.6407698412175107E-2</v>
      </c>
      <c r="I48" s="143">
        <f>W34</f>
        <v>4.6587964164276595E-2</v>
      </c>
      <c r="J48" s="143">
        <f>W35</f>
        <v>1.4243343448117059E-2</v>
      </c>
      <c r="K48" s="143">
        <f>W36</f>
        <v>-7.4959508120014621E-3</v>
      </c>
      <c r="L48" s="143">
        <f>W37</f>
        <v>-1.259414766588216E-3</v>
      </c>
      <c r="M48" s="143">
        <f>W38</f>
        <v>9.1691494088320981E-3</v>
      </c>
      <c r="N48" s="143">
        <f>W39</f>
        <v>6.2194227897291079E-2</v>
      </c>
      <c r="O48" s="143">
        <f>W40</f>
        <v>-5.4600295474938748E-3</v>
      </c>
      <c r="P48" s="143">
        <f>W41</f>
        <v>9.5213859461817964E-3</v>
      </c>
      <c r="Q48" s="143">
        <f>W42</f>
        <v>1.2461803809685828E-2</v>
      </c>
      <c r="R48" s="143">
        <f>W43</f>
        <v>3.9946695813681869E-2</v>
      </c>
      <c r="S48" s="143">
        <f>W44</f>
        <v>0.10154202361360712</v>
      </c>
      <c r="T48" s="143">
        <f>W45</f>
        <v>2.7053408245656187E-2</v>
      </c>
      <c r="U48" s="143">
        <f>W46</f>
        <v>6.8325759708247509E-4</v>
      </c>
      <c r="V48" s="143">
        <f>W47</f>
        <v>2.7053408245656187E-2</v>
      </c>
      <c r="W48" s="151">
        <f>_xlfn.VAR.S(BG3:BG19)</f>
        <v>8.4426452207415639E-2</v>
      </c>
      <c r="X48" s="143">
        <f>_xlfn.COVARIANCE.S($BG$3:$BG$19,BH3:BH19)</f>
        <v>2.5729442586098091E-3</v>
      </c>
      <c r="Y48" s="143">
        <f t="shared" ref="Y48:AO48" si="40">_xlfn.COVARIANCE.S($BG$3:$BG$19,BI3:BI19)</f>
        <v>1.2480315304877473E-2</v>
      </c>
      <c r="Z48" s="143">
        <f t="shared" si="40"/>
        <v>1.4709455599705532E-2</v>
      </c>
      <c r="AA48" s="143">
        <f t="shared" si="40"/>
        <v>4.3560927366835291E-3</v>
      </c>
      <c r="AB48" s="143">
        <f t="shared" si="40"/>
        <v>7.4536234738640742E-3</v>
      </c>
      <c r="AC48" s="143">
        <f t="shared" si="40"/>
        <v>-3.3514166229873747E-3</v>
      </c>
      <c r="AD48" s="143">
        <f t="shared" si="40"/>
        <v>2.7506818081743092E-3</v>
      </c>
      <c r="AE48" s="143">
        <f t="shared" si="40"/>
        <v>-1.0684198279776127E-2</v>
      </c>
      <c r="AF48" s="143">
        <f t="shared" si="40"/>
        <v>2.090257567646929E-2</v>
      </c>
      <c r="AG48" s="143">
        <f t="shared" si="40"/>
        <v>-1.0511763962617233E-2</v>
      </c>
      <c r="AH48" s="143">
        <f t="shared" si="40"/>
        <v>-6.4498433131995343E-3</v>
      </c>
      <c r="AI48" s="143">
        <f t="shared" si="40"/>
        <v>1.7600287669555605E-3</v>
      </c>
      <c r="AJ48" s="143">
        <f t="shared" si="40"/>
        <v>-3.8803675229085073E-3</v>
      </c>
      <c r="AK48" s="143">
        <f t="shared" si="40"/>
        <v>-3.5959785774590646E-3</v>
      </c>
      <c r="AL48" s="143">
        <f t="shared" si="40"/>
        <v>-7.8620726229065661E-3</v>
      </c>
      <c r="AM48" s="143">
        <f t="shared" si="40"/>
        <v>2.2151659751638302E-3</v>
      </c>
      <c r="AN48" s="143">
        <f t="shared" si="40"/>
        <v>8.8383598243154168E-3</v>
      </c>
      <c r="AO48" s="143">
        <f t="shared" si="40"/>
        <v>1.3628582591716765E-3</v>
      </c>
      <c r="AP48"/>
      <c r="AQ48" s="119" t="s">
        <v>10</v>
      </c>
      <c r="AR48" s="181">
        <v>0.20683303755262122</v>
      </c>
      <c r="AS48" s="119">
        <f t="shared" si="26"/>
        <v>0.20683303755262122</v>
      </c>
    </row>
    <row r="49" spans="2:47" ht="15.75">
      <c r="B49" s="128" t="s">
        <v>126</v>
      </c>
      <c r="C49" s="140">
        <f>X28</f>
        <v>0</v>
      </c>
      <c r="D49" s="143">
        <f>X29</f>
        <v>2.5323126403489792E-4</v>
      </c>
      <c r="E49" s="143">
        <f>X30</f>
        <v>2.0617940906201156E-3</v>
      </c>
      <c r="F49" s="143">
        <f>X31</f>
        <v>1.5919864791855772E-3</v>
      </c>
      <c r="G49" s="143">
        <f>X32</f>
        <v>1.181455657272204E-3</v>
      </c>
      <c r="H49" s="143">
        <f>X33</f>
        <v>-7.3654613495785122E-3</v>
      </c>
      <c r="I49" s="143">
        <f>X34</f>
        <v>2.9546421104595781E-3</v>
      </c>
      <c r="J49" s="143">
        <f>X35</f>
        <v>3.2991564104728282E-3</v>
      </c>
      <c r="K49" s="143">
        <f>X36</f>
        <v>-3.308965046002237E-4</v>
      </c>
      <c r="L49" s="143">
        <f>X37</f>
        <v>-5.1752106906235453E-5</v>
      </c>
      <c r="M49" s="143">
        <f>X38</f>
        <v>2.1418821005329122E-3</v>
      </c>
      <c r="N49" s="143">
        <f>X39</f>
        <v>-1.7081720427141348E-2</v>
      </c>
      <c r="O49" s="143">
        <f>X40</f>
        <v>-1.4773927671901736E-4</v>
      </c>
      <c r="P49" s="143">
        <f>X41</f>
        <v>1.6796902773652353E-3</v>
      </c>
      <c r="Q49" s="143">
        <f>X42</f>
        <v>4.4853013187859826E-3</v>
      </c>
      <c r="R49" s="143">
        <f>X43</f>
        <v>-4.0755915530330577E-3</v>
      </c>
      <c r="S49" s="143">
        <f>X44</f>
        <v>-6.8078941348296926E-3</v>
      </c>
      <c r="T49" s="143">
        <f>X45</f>
        <v>2.5729442586098091E-3</v>
      </c>
      <c r="U49" s="143">
        <f>X46</f>
        <v>1.5844581472147319E-3</v>
      </c>
      <c r="V49" s="143">
        <f>X47</f>
        <v>4.5328541315128425E-3</v>
      </c>
      <c r="W49" s="143">
        <f>X48</f>
        <v>2.5729442586098091E-3</v>
      </c>
      <c r="X49" s="151">
        <f>_xlfn.VAR.S(BH3:BH19)</f>
        <v>3.9711751544893072E-3</v>
      </c>
      <c r="Y49" s="143">
        <f>_xlfn.COVARIANCE.S($BH$3:$BH$19,BI3:BI19)</f>
        <v>4.2165869592822314E-3</v>
      </c>
      <c r="Z49" s="143">
        <f t="shared" ref="Z49:AO49" si="41">_xlfn.COVARIANCE.S($BH$3:$BH$19,BJ3:BJ19)</f>
        <v>2.3460867390783673E-3</v>
      </c>
      <c r="AA49" s="143">
        <f t="shared" si="41"/>
        <v>4.8509775632008326E-3</v>
      </c>
      <c r="AB49" s="143">
        <f t="shared" si="41"/>
        <v>1.2120126625001539E-3</v>
      </c>
      <c r="AC49" s="143">
        <f t="shared" si="41"/>
        <v>1.2736676139179694E-3</v>
      </c>
      <c r="AD49" s="143">
        <f t="shared" si="41"/>
        <v>9.1880241023060028E-4</v>
      </c>
      <c r="AE49" s="143">
        <f t="shared" si="41"/>
        <v>-2.0484547809197125E-3</v>
      </c>
      <c r="AF49" s="143">
        <f t="shared" si="41"/>
        <v>-5.1166774697093739E-3</v>
      </c>
      <c r="AG49" s="143">
        <f t="shared" si="41"/>
        <v>-8.5799496506384367E-4</v>
      </c>
      <c r="AH49" s="143">
        <f t="shared" si="41"/>
        <v>-2.9955936441039476E-3</v>
      </c>
      <c r="AI49" s="143">
        <f t="shared" si="41"/>
        <v>-1.1004668675141027E-3</v>
      </c>
      <c r="AJ49" s="143">
        <f t="shared" si="41"/>
        <v>2.7157474871173362E-3</v>
      </c>
      <c r="AK49" s="143">
        <f t="shared" si="41"/>
        <v>-2.478723536717041E-3</v>
      </c>
      <c r="AL49" s="143">
        <f t="shared" si="41"/>
        <v>-1.789026344901645E-3</v>
      </c>
      <c r="AM49" s="143">
        <f t="shared" si="41"/>
        <v>2.8573059328976533E-3</v>
      </c>
      <c r="AN49" s="143">
        <f t="shared" si="41"/>
        <v>3.5002221537304289E-3</v>
      </c>
      <c r="AO49" s="143">
        <f t="shared" si="41"/>
        <v>3.9052296330297784E-3</v>
      </c>
      <c r="AP49"/>
      <c r="AQ49" s="119" t="s">
        <v>68</v>
      </c>
      <c r="AR49" s="181">
        <v>1.6588497191426979E-2</v>
      </c>
      <c r="AS49" s="119">
        <f t="shared" si="26"/>
        <v>1.6588497191426979E-2</v>
      </c>
    </row>
    <row r="50" spans="2:47" ht="15.75">
      <c r="B50" s="128" t="s">
        <v>71</v>
      </c>
      <c r="C50" s="140">
        <f>Y28</f>
        <v>4.3660266282770303E-2</v>
      </c>
      <c r="D50" s="143">
        <f>Y29</f>
        <v>1.7285367728553434E-4</v>
      </c>
      <c r="E50" s="143">
        <f>Y30</f>
        <v>-5.1820348267843175E-3</v>
      </c>
      <c r="F50" s="143">
        <f>Y31</f>
        <v>3.5150566351058996E-3</v>
      </c>
      <c r="G50" s="143">
        <f>Y32</f>
        <v>8.6842289102914954E-4</v>
      </c>
      <c r="H50" s="143">
        <f>Y33</f>
        <v>-2.6726610946265241E-2</v>
      </c>
      <c r="I50" s="143">
        <f>Y34</f>
        <v>5.6838191515149314E-3</v>
      </c>
      <c r="J50" s="143">
        <f>Y35</f>
        <v>2.4871625874303685E-3</v>
      </c>
      <c r="K50" s="143">
        <f>Y36</f>
        <v>-1.3394286062896042E-3</v>
      </c>
      <c r="L50" s="143">
        <f>Y37</f>
        <v>6.5250530894483169E-4</v>
      </c>
      <c r="M50" s="143">
        <f>Y38</f>
        <v>1.9964363142840331E-3</v>
      </c>
      <c r="N50" s="143">
        <f>Y39</f>
        <v>0.26103442239280228</v>
      </c>
      <c r="O50" s="143">
        <f>Y40</f>
        <v>2.1480934482247947E-3</v>
      </c>
      <c r="P50" s="143">
        <f>Y41</f>
        <v>1.9955034330328739E-3</v>
      </c>
      <c r="Q50" s="143">
        <f>Y42</f>
        <v>6.9794826868132863E-3</v>
      </c>
      <c r="R50" s="143">
        <f>Y43</f>
        <v>-6.3225395227317995E-4</v>
      </c>
      <c r="S50" s="143">
        <f>Y44</f>
        <v>2.2224435228873837E-3</v>
      </c>
      <c r="T50" s="143">
        <f>Y45</f>
        <v>4.2165869592822314E-3</v>
      </c>
      <c r="U50" s="143">
        <f>Y46</f>
        <v>7.569682636216807E-4</v>
      </c>
      <c r="V50" s="143">
        <f>Y47</f>
        <v>7.0337237227235351E-3</v>
      </c>
      <c r="W50" s="143">
        <f>Y48</f>
        <v>1.2480315304877473E-2</v>
      </c>
      <c r="X50" s="143">
        <f>Y49</f>
        <v>4.2165869592822314E-3</v>
      </c>
      <c r="Y50" s="151">
        <f>_xlfn.VAR.S(BI3:BI19)</f>
        <v>2.0470865174082292E-2</v>
      </c>
      <c r="Z50" s="143">
        <f>_xlfn.COVARIANCE.S($BI$3:$BI$19,BJ3:BJ19)</f>
        <v>1.0632472371098751E-2</v>
      </c>
      <c r="AA50" s="143">
        <f t="shared" ref="AA50:AO50" si="42">_xlfn.COVARIANCE.S($BI$3:$BI$19,BK3:BK19)</f>
        <v>1.0484282888402099E-2</v>
      </c>
      <c r="AB50" s="143">
        <f t="shared" si="42"/>
        <v>3.1975147829375323E-3</v>
      </c>
      <c r="AC50" s="143">
        <f t="shared" si="42"/>
        <v>2.7057314236364877E-3</v>
      </c>
      <c r="AD50" s="143">
        <f t="shared" si="42"/>
        <v>5.6937717413431841E-3</v>
      </c>
      <c r="AE50" s="143">
        <f t="shared" si="42"/>
        <v>-5.4443836829882611E-3</v>
      </c>
      <c r="AF50" s="143">
        <f t="shared" si="42"/>
        <v>-1.8950140068659088E-4</v>
      </c>
      <c r="AG50" s="143">
        <f t="shared" si="42"/>
        <v>1.0664447111032812E-2</v>
      </c>
      <c r="AH50" s="143">
        <f t="shared" si="42"/>
        <v>-4.8347247437324709E-3</v>
      </c>
      <c r="AI50" s="143">
        <f t="shared" si="42"/>
        <v>-4.8758274943039078E-3</v>
      </c>
      <c r="AJ50" s="143">
        <f t="shared" si="42"/>
        <v>3.0885584215291683E-3</v>
      </c>
      <c r="AK50" s="143">
        <f t="shared" si="42"/>
        <v>-1.7341489217770575E-3</v>
      </c>
      <c r="AL50" s="143">
        <f t="shared" si="42"/>
        <v>-2.2354404972271449E-3</v>
      </c>
      <c r="AM50" s="143">
        <f t="shared" si="42"/>
        <v>-7.9592856966371041E-4</v>
      </c>
      <c r="AN50" s="143">
        <f t="shared" si="42"/>
        <v>3.9238544292654418E-3</v>
      </c>
      <c r="AO50" s="143">
        <f t="shared" si="42"/>
        <v>2.747218250625124E-3</v>
      </c>
      <c r="AP50"/>
      <c r="AQ50" s="119" t="s">
        <v>71</v>
      </c>
      <c r="AR50" s="181">
        <v>2.2120461892185441E-2</v>
      </c>
      <c r="AS50" s="119">
        <f t="shared" si="26"/>
        <v>2.2120461892185441E-2</v>
      </c>
    </row>
    <row r="51" spans="2:47" ht="15.75">
      <c r="B51" s="128" t="s">
        <v>127</v>
      </c>
      <c r="C51" s="140">
        <f>Z28</f>
        <v>3.531562623190198E-2</v>
      </c>
      <c r="D51" s="143">
        <f>Z29</f>
        <v>1.5365077429135303E-3</v>
      </c>
      <c r="E51" s="143">
        <f>Z30</f>
        <v>2.0499440292832136E-4</v>
      </c>
      <c r="F51" s="143">
        <f>Z31</f>
        <v>4.4461011751876613E-3</v>
      </c>
      <c r="G51" s="143">
        <f>Z32</f>
        <v>6.8568620567192363E-4</v>
      </c>
      <c r="H51" s="143">
        <f>Z33</f>
        <v>-1.6676979571267483E-2</v>
      </c>
      <c r="I51" s="143">
        <f>Z34</f>
        <v>1.8997225373727909E-2</v>
      </c>
      <c r="J51" s="143">
        <f>Z35</f>
        <v>8.8665074751963831E-3</v>
      </c>
      <c r="K51" s="143">
        <f>Z36</f>
        <v>-2.0887546414879886E-3</v>
      </c>
      <c r="L51" s="143">
        <f>Z37</f>
        <v>3.5689627762622586E-3</v>
      </c>
      <c r="M51" s="143">
        <f>Z38</f>
        <v>7.5723782567181973E-3</v>
      </c>
      <c r="N51" s="143">
        <f>Z39</f>
        <v>0.15349931859770499</v>
      </c>
      <c r="O51" s="143">
        <f>Z40</f>
        <v>6.2570580701581547E-3</v>
      </c>
      <c r="P51" s="143">
        <f>Z41</f>
        <v>6.6348309150742425E-3</v>
      </c>
      <c r="Q51" s="143">
        <f>Z42</f>
        <v>1.0117445223021826E-2</v>
      </c>
      <c r="R51" s="143">
        <f>Z43</f>
        <v>1.4994296920621288E-2</v>
      </c>
      <c r="S51" s="143">
        <f>Z44</f>
        <v>1.5823621330891963E-2</v>
      </c>
      <c r="T51" s="143">
        <f>Z45</f>
        <v>1.0632472371098751E-2</v>
      </c>
      <c r="U51" s="143">
        <f>Z46</f>
        <v>-5.8389565022216904E-4</v>
      </c>
      <c r="V51" s="143">
        <f>Z47</f>
        <v>9.0456480259697887E-3</v>
      </c>
      <c r="W51" s="143">
        <f>Z48</f>
        <v>1.4709455599705532E-2</v>
      </c>
      <c r="X51" s="143">
        <f>Z49</f>
        <v>2.3460867390783673E-3</v>
      </c>
      <c r="Y51" s="143">
        <f>Z50</f>
        <v>1.0632472371098751E-2</v>
      </c>
      <c r="Z51" s="151">
        <f>_xlfn.VAR.S(BJ3:BJ19)</f>
        <v>1.6803772978562361E-2</v>
      </c>
      <c r="AA51" s="143">
        <f>_xlfn.COVARIANCE.S($BJ$3:$BJ$19,BK3:BK19)</f>
        <v>1.2559248397424316E-2</v>
      </c>
      <c r="AB51" s="143">
        <f t="shared" ref="AB51:AO51" si="43">_xlfn.COVARIANCE.S($BJ$3:$BJ$19,BL3:BL19)</f>
        <v>1.7701788374958859E-3</v>
      </c>
      <c r="AC51" s="143">
        <f t="shared" si="43"/>
        <v>1.4212636994313265E-3</v>
      </c>
      <c r="AD51" s="143">
        <f t="shared" si="43"/>
        <v>3.4429848562928848E-3</v>
      </c>
      <c r="AE51" s="143">
        <f t="shared" si="43"/>
        <v>-7.0810877742524354E-3</v>
      </c>
      <c r="AF51" s="143">
        <f t="shared" si="43"/>
        <v>-4.2730145158084215E-3</v>
      </c>
      <c r="AG51" s="143">
        <f t="shared" si="43"/>
        <v>-6.8382006003359667E-3</v>
      </c>
      <c r="AH51" s="143">
        <f t="shared" si="43"/>
        <v>-2.3645073011006523E-3</v>
      </c>
      <c r="AI51" s="143">
        <f t="shared" si="43"/>
        <v>-4.2388116392923373E-3</v>
      </c>
      <c r="AJ51" s="143">
        <f t="shared" si="43"/>
        <v>7.7685591169766323E-4</v>
      </c>
      <c r="AK51" s="143">
        <f t="shared" si="43"/>
        <v>2.932571429206241E-3</v>
      </c>
      <c r="AL51" s="143">
        <f t="shared" si="43"/>
        <v>2.1556996084266212E-3</v>
      </c>
      <c r="AM51" s="143">
        <f t="shared" si="43"/>
        <v>2.835992379471157E-3</v>
      </c>
      <c r="AN51" s="143">
        <f t="shared" si="43"/>
        <v>1.5801634324910949E-3</v>
      </c>
      <c r="AO51" s="143">
        <f t="shared" si="43"/>
        <v>8.5849579156884199E-3</v>
      </c>
      <c r="AP51"/>
      <c r="AQ51" s="119" t="s">
        <v>178</v>
      </c>
      <c r="AR51" s="181">
        <v>4.5304989884285836E-2</v>
      </c>
      <c r="AS51" s="119">
        <f t="shared" si="26"/>
        <v>4.5304989884285836E-2</v>
      </c>
    </row>
    <row r="52" spans="2:47" ht="15.75">
      <c r="B52" s="128" t="s">
        <v>128</v>
      </c>
      <c r="C52" s="140">
        <f>AA28</f>
        <v>0</v>
      </c>
      <c r="D52" s="143">
        <f>AA29</f>
        <v>1.0056345375070248E-3</v>
      </c>
      <c r="E52" s="143">
        <f>AA30</f>
        <v>2.2210000253432179E-3</v>
      </c>
      <c r="F52" s="143">
        <f>AA31</f>
        <v>4.4916320689075409E-3</v>
      </c>
      <c r="G52" s="143">
        <f>AA32</f>
        <v>7.1386682799900406E-4</v>
      </c>
      <c r="H52" s="143">
        <f>AA33</f>
        <v>-1.6861824211333133E-2</v>
      </c>
      <c r="I52" s="143">
        <f>AA34</f>
        <v>1.2641341866315256E-2</v>
      </c>
      <c r="J52" s="143">
        <f>AA35</f>
        <v>5.1522085873870992E-3</v>
      </c>
      <c r="K52" s="143">
        <f>AA36</f>
        <v>-1.1446551670324591E-3</v>
      </c>
      <c r="L52" s="143">
        <f>AA37</f>
        <v>2.9906555360232749E-3</v>
      </c>
      <c r="M52" s="143">
        <f>AA38</f>
        <v>5.9278174445881503E-3</v>
      </c>
      <c r="N52" s="143">
        <f>AA39</f>
        <v>0.31668801647283418</v>
      </c>
      <c r="O52" s="143">
        <f>AA40</f>
        <v>6.8726254087509708E-3</v>
      </c>
      <c r="P52" s="143">
        <f>AA41</f>
        <v>6.725450977806878E-3</v>
      </c>
      <c r="Q52" s="143">
        <f>AA42</f>
        <v>1.1881477317114432E-2</v>
      </c>
      <c r="R52" s="143">
        <f>AA43</f>
        <v>-2.210165428777975E-4</v>
      </c>
      <c r="S52" s="143">
        <f>AA44</f>
        <v>-1.6157252727837149E-2</v>
      </c>
      <c r="T52" s="143">
        <f>AA45</f>
        <v>1.2559248397424316E-2</v>
      </c>
      <c r="U52" s="143">
        <f>AA46</f>
        <v>1.5652803452654881E-3</v>
      </c>
      <c r="V52" s="143">
        <f>AA47</f>
        <v>1.2546287006984496E-2</v>
      </c>
      <c r="W52" s="143">
        <f>AA48</f>
        <v>4.3560927366835291E-3</v>
      </c>
      <c r="X52" s="143">
        <f>AA49</f>
        <v>4.8509775632008326E-3</v>
      </c>
      <c r="Y52" s="143">
        <f>AA50</f>
        <v>1.0484282888402099E-2</v>
      </c>
      <c r="Z52" s="143">
        <f>AA51</f>
        <v>1.2559248397424316E-2</v>
      </c>
      <c r="AA52" s="151">
        <f>_xlfn.VAR.S(BK3:BK19)</f>
        <v>2.3767309163943158E-2</v>
      </c>
      <c r="AB52" s="143">
        <f>_xlfn.COVARIANCE.S($BK$3:$BK$19,BL3:BL19)</f>
        <v>4.2581044531190054E-3</v>
      </c>
      <c r="AC52" s="143">
        <f t="shared" ref="AC52:AO52" si="44">_xlfn.COVARIANCE.S($BK$3:$BK$19,BM3:BM19)</f>
        <v>2.5371547396851788E-3</v>
      </c>
      <c r="AD52" s="143">
        <f t="shared" si="44"/>
        <v>6.0260418974813958E-3</v>
      </c>
      <c r="AE52" s="143">
        <f t="shared" si="44"/>
        <v>-8.7585406813760159E-4</v>
      </c>
      <c r="AF52" s="143">
        <f t="shared" si="44"/>
        <v>1.17602177636544E-4</v>
      </c>
      <c r="AG52" s="143">
        <f t="shared" si="44"/>
        <v>-6.4903755928678863E-4</v>
      </c>
      <c r="AH52" s="143">
        <f t="shared" si="44"/>
        <v>-1.1075258218177708E-3</v>
      </c>
      <c r="AI52" s="143">
        <f t="shared" si="44"/>
        <v>1.3700720097198403E-4</v>
      </c>
      <c r="AJ52" s="143">
        <f t="shared" si="44"/>
        <v>3.1444319384087115E-3</v>
      </c>
      <c r="AK52" s="143">
        <f t="shared" si="44"/>
        <v>2.8960578797668133E-3</v>
      </c>
      <c r="AL52" s="143">
        <f t="shared" si="44"/>
        <v>5.6346735106692098E-3</v>
      </c>
      <c r="AM52" s="143">
        <f t="shared" si="44"/>
        <v>5.7351137977294242E-3</v>
      </c>
      <c r="AN52" s="143">
        <f t="shared" si="44"/>
        <v>8.7713608134430826E-3</v>
      </c>
      <c r="AO52" s="143">
        <f t="shared" si="44"/>
        <v>9.3364214350687598E-3</v>
      </c>
      <c r="AP52"/>
      <c r="AQ52" s="119" t="s">
        <v>176</v>
      </c>
      <c r="AR52" s="181">
        <v>6.316645317188738E-3</v>
      </c>
      <c r="AS52" s="119">
        <f t="shared" si="26"/>
        <v>6.316645317188738E-3</v>
      </c>
    </row>
    <row r="53" spans="2:47" ht="15.75">
      <c r="B53" s="128" t="s">
        <v>129</v>
      </c>
      <c r="C53" s="140">
        <f>AB28</f>
        <v>1.6588497191426979E-2</v>
      </c>
      <c r="D53" s="143">
        <f>AB29</f>
        <v>3.1303989144767638E-3</v>
      </c>
      <c r="E53" s="143">
        <f>AB30</f>
        <v>-1.4932329076813809E-3</v>
      </c>
      <c r="F53" s="143">
        <f>AB31</f>
        <v>3.8154624540947396E-3</v>
      </c>
      <c r="G53" s="143">
        <f>AB32</f>
        <v>3.3474879889052785E-3</v>
      </c>
      <c r="H53" s="143">
        <f>AB33</f>
        <v>-1.7332877483620057E-2</v>
      </c>
      <c r="I53" s="143">
        <f>AB34</f>
        <v>5.4572633798640651E-3</v>
      </c>
      <c r="J53" s="143">
        <f>AB35</f>
        <v>-7.5501557217387441E-4</v>
      </c>
      <c r="K53" s="143">
        <f>AB36</f>
        <v>-9.1608910068431693E-4</v>
      </c>
      <c r="L53" s="143">
        <f>AB37</f>
        <v>1.8331461437404585E-3</v>
      </c>
      <c r="M53" s="143">
        <f>AB38</f>
        <v>4.0167055412092031E-3</v>
      </c>
      <c r="N53" s="143">
        <f>AB39</f>
        <v>1.2219196369087866E-2</v>
      </c>
      <c r="O53" s="143">
        <f>AB40</f>
        <v>1.4557576289373935E-3</v>
      </c>
      <c r="P53" s="143">
        <f>AB41</f>
        <v>2.5270442503494191E-3</v>
      </c>
      <c r="Q53" s="143">
        <f>AB42</f>
        <v>3.295283311161106E-3</v>
      </c>
      <c r="R53" s="143">
        <f>AB43</f>
        <v>6.8344283089011521E-3</v>
      </c>
      <c r="S53" s="143">
        <f>AB44</f>
        <v>3.0350662448760425E-2</v>
      </c>
      <c r="T53" s="143">
        <f>AB45</f>
        <v>4.2581044531190054E-3</v>
      </c>
      <c r="U53" s="143">
        <f>AB46</f>
        <v>1.3969026168304545E-3</v>
      </c>
      <c r="V53" s="143">
        <f>AB47</f>
        <v>6.418264152958205E-3</v>
      </c>
      <c r="W53" s="143">
        <f>AB48</f>
        <v>7.4536234738640742E-3</v>
      </c>
      <c r="X53" s="143">
        <f>AB49</f>
        <v>1.2120126625001539E-3</v>
      </c>
      <c r="Y53" s="143">
        <f>AB50</f>
        <v>3.1975147829375323E-3</v>
      </c>
      <c r="Z53" s="143">
        <f>AB51</f>
        <v>1.7701788374958859E-3</v>
      </c>
      <c r="AA53" s="143">
        <f>AB52</f>
        <v>4.2581044531190054E-3</v>
      </c>
      <c r="AB53" s="151">
        <f>_xlfn.VAR.S(BL3:BL19)</f>
        <v>1.5032721241197042E-2</v>
      </c>
      <c r="AC53" s="143">
        <f>_xlfn.COVARIANCE.S($BL$3:$BL$19,BM3:BM19)</f>
        <v>3.2051003449145295E-3</v>
      </c>
      <c r="AD53" s="143">
        <f t="shared" ref="AD53:AO53" si="45">_xlfn.COVARIANCE.S($BL$3:$BL$19,BN3:BN19)</f>
        <v>9.0485823911177245E-3</v>
      </c>
      <c r="AE53" s="143">
        <f t="shared" si="45"/>
        <v>2.1550494486604942E-3</v>
      </c>
      <c r="AF53" s="143">
        <f>_xlfn.COVARIANCE.S($BL$3:$BL$19,BP3:BP19)</f>
        <v>4.0961284143897969E-3</v>
      </c>
      <c r="AG53" s="143">
        <f t="shared" si="45"/>
        <v>7.6077334462090343E-3</v>
      </c>
      <c r="AH53" s="143">
        <f t="shared" si="45"/>
        <v>-1.3183978494833541E-3</v>
      </c>
      <c r="AI53" s="143">
        <f t="shared" si="45"/>
        <v>1.623993980309415E-3</v>
      </c>
      <c r="AJ53" s="143">
        <f t="shared" si="45"/>
        <v>2.811186617363657E-3</v>
      </c>
      <c r="AK53" s="143">
        <f t="shared" si="45"/>
        <v>6.2675931186365538E-3</v>
      </c>
      <c r="AL53" s="143">
        <f t="shared" si="45"/>
        <v>7.0900506453775679E-3</v>
      </c>
      <c r="AM53" s="143">
        <f t="shared" si="45"/>
        <v>1.9490103710617219E-3</v>
      </c>
      <c r="AN53" s="143">
        <f t="shared" si="45"/>
        <v>-2.6039591864778595E-5</v>
      </c>
      <c r="AO53" s="143">
        <f t="shared" si="45"/>
        <v>7.1239883519697673E-4</v>
      </c>
      <c r="AP53"/>
      <c r="AQ53" s="119" t="s">
        <v>179</v>
      </c>
      <c r="AR53" s="181">
        <v>4.0139792190415226E-2</v>
      </c>
      <c r="AS53" s="119">
        <f t="shared" si="26"/>
        <v>4.0139792190415226E-2</v>
      </c>
    </row>
    <row r="54" spans="2:47" ht="15.75">
      <c r="B54" s="128" t="s">
        <v>130</v>
      </c>
      <c r="C54" s="140">
        <f>AC28</f>
        <v>2.2120461892185441E-2</v>
      </c>
      <c r="D54" s="143">
        <f>AC29</f>
        <v>9.6834746151247216E-4</v>
      </c>
      <c r="E54" s="143">
        <f>AC30</f>
        <v>1.9182309602068653E-3</v>
      </c>
      <c r="F54" s="143">
        <f>AC31</f>
        <v>1.3279348954612718E-3</v>
      </c>
      <c r="G54" s="143">
        <f>AC32</f>
        <v>1.3931287936368101E-3</v>
      </c>
      <c r="H54" s="143">
        <f>AC33</f>
        <v>-4.0290416093180376E-3</v>
      </c>
      <c r="I54" s="143">
        <f>AC34</f>
        <v>-5.0264102602676827E-3</v>
      </c>
      <c r="J54" s="143">
        <f>AC35</f>
        <v>7.282460968642112E-7</v>
      </c>
      <c r="K54" s="143">
        <f>AC36</f>
        <v>-4.8189590743931524E-5</v>
      </c>
      <c r="L54" s="143">
        <f>AC37</f>
        <v>-2.147765939376118E-3</v>
      </c>
      <c r="M54" s="143">
        <f>AC38</f>
        <v>2.1640142542743378E-3</v>
      </c>
      <c r="N54" s="143">
        <f>AC39</f>
        <v>7.3675786457929215E-2</v>
      </c>
      <c r="O54" s="143">
        <f>AC40</f>
        <v>3.4367468872571281E-3</v>
      </c>
      <c r="P54" s="143">
        <f>AC41</f>
        <v>1.5952136207432392E-3</v>
      </c>
      <c r="Q54" s="143">
        <f>AC42</f>
        <v>1.5473723116021787E-3</v>
      </c>
      <c r="R54" s="143">
        <f>AC43</f>
        <v>4.2367816579544542E-3</v>
      </c>
      <c r="S54" s="143">
        <f>AC44</f>
        <v>1.8394987406324358E-2</v>
      </c>
      <c r="T54" s="143">
        <f>AC45</f>
        <v>3.2051003449145295E-3</v>
      </c>
      <c r="U54" s="143">
        <f>AC46</f>
        <v>3.0338372716803033E-4</v>
      </c>
      <c r="V54" s="143">
        <f>AC47</f>
        <v>4.816369352431348E-3</v>
      </c>
      <c r="W54" s="143">
        <f>AC48</f>
        <v>-3.3514166229873747E-3</v>
      </c>
      <c r="X54" s="143">
        <f>AC49</f>
        <v>1.2736676139179694E-3</v>
      </c>
      <c r="Y54" s="143">
        <f>AC50</f>
        <v>2.7057314236364877E-3</v>
      </c>
      <c r="Z54" s="143">
        <f>AC51</f>
        <v>1.4212636994313265E-3</v>
      </c>
      <c r="AA54" s="143">
        <f>AC52</f>
        <v>2.5371547396851788E-3</v>
      </c>
      <c r="AB54" s="143">
        <f>AC53</f>
        <v>3.2051003449145295E-3</v>
      </c>
      <c r="AC54" s="151">
        <f>_xlfn.VAR.S(BM3:BM19)</f>
        <v>6.7180304991420288E-3</v>
      </c>
      <c r="AD54" s="143">
        <f>_xlfn.COVARIANCE.S($BM$3:$BM$19,BN3:BN19)</f>
        <v>3.670742147409953E-3</v>
      </c>
      <c r="AE54" s="143">
        <f t="shared" ref="AE54:AO54" si="46">_xlfn.COVARIANCE.S($BM$3:$BM$19,BO3:BO19)</f>
        <v>-2.9406226123574342E-3</v>
      </c>
      <c r="AF54" s="143">
        <f t="shared" si="46"/>
        <v>1.199253156316018E-3</v>
      </c>
      <c r="AG54" s="143">
        <f t="shared" si="46"/>
        <v>8.0643658105364628E-4</v>
      </c>
      <c r="AH54" s="143">
        <f t="shared" si="46"/>
        <v>-2.6454727025857733E-3</v>
      </c>
      <c r="AI54" s="143">
        <f t="shared" si="46"/>
        <v>-4.2147577874932594E-3</v>
      </c>
      <c r="AJ54" s="143">
        <f t="shared" si="46"/>
        <v>1.644216064500536E-3</v>
      </c>
      <c r="AK54" s="143">
        <f t="shared" si="46"/>
        <v>4.9351664004772741E-3</v>
      </c>
      <c r="AL54" s="143">
        <f t="shared" si="46"/>
        <v>1.7366700441526339E-3</v>
      </c>
      <c r="AM54" s="143">
        <f t="shared" si="46"/>
        <v>-2.4553386930442882E-4</v>
      </c>
      <c r="AN54" s="143">
        <f t="shared" si="46"/>
        <v>2.8883147160658736E-3</v>
      </c>
      <c r="AO54" s="143">
        <f t="shared" si="46"/>
        <v>7.287822460841462E-4</v>
      </c>
      <c r="AP54"/>
      <c r="AQ54" s="119" t="s">
        <v>180</v>
      </c>
      <c r="AR54" s="181">
        <v>4.2569001516059954E-2</v>
      </c>
      <c r="AS54" s="119">
        <f t="shared" si="26"/>
        <v>4.2569001516059954E-2</v>
      </c>
    </row>
    <row r="55" spans="2:47" ht="15.75">
      <c r="B55" s="128" t="s">
        <v>131</v>
      </c>
      <c r="C55" s="140">
        <f>AD28</f>
        <v>0</v>
      </c>
      <c r="D55" s="143">
        <f>AD29</f>
        <v>3.2182956333858619E-3</v>
      </c>
      <c r="E55" s="143">
        <f>AD30</f>
        <v>-8.9911730272544015E-4</v>
      </c>
      <c r="F55" s="143">
        <f>AD31</f>
        <v>3.4606222235665941E-3</v>
      </c>
      <c r="G55" s="143">
        <f>AD32</f>
        <v>2.4393283739096092E-3</v>
      </c>
      <c r="H55" s="143">
        <f>AD33</f>
        <v>-1.1728167718193159E-2</v>
      </c>
      <c r="I55" s="143">
        <f>AD34</f>
        <v>9.1202719006058738E-3</v>
      </c>
      <c r="J55" s="143">
        <f>AD35</f>
        <v>5.7954916290236416E-5</v>
      </c>
      <c r="K55" s="143">
        <f>AD36</f>
        <v>-2.4945779210234055E-4</v>
      </c>
      <c r="L55" s="143">
        <f>AD37</f>
        <v>-8.347786993889504E-4</v>
      </c>
      <c r="M55" s="143">
        <f>AD38</f>
        <v>1.0134119784725167E-2</v>
      </c>
      <c r="N55" s="143">
        <f>AD39</f>
        <v>0.1334517315547693</v>
      </c>
      <c r="O55" s="143">
        <f>AD40</f>
        <v>3.6914005216838672E-3</v>
      </c>
      <c r="P55" s="143">
        <f>AD41</f>
        <v>3.4370748134179086E-3</v>
      </c>
      <c r="Q55" s="143">
        <f>AD42</f>
        <v>2.8710145263854993E-3</v>
      </c>
      <c r="R55" s="143">
        <f>AD43</f>
        <v>1.0708727830894278E-2</v>
      </c>
      <c r="S55" s="143">
        <f>AD44</f>
        <v>2.4561603985522845E-2</v>
      </c>
      <c r="T55" s="143">
        <f>AD45</f>
        <v>3.670742147409953E-3</v>
      </c>
      <c r="U55" s="143">
        <f>AD46</f>
        <v>-8.287201221775771E-4</v>
      </c>
      <c r="V55" s="143">
        <f>AD47</f>
        <v>7.0216096846813184E-3</v>
      </c>
      <c r="W55" s="143">
        <f>AD48</f>
        <v>2.7506818081743092E-3</v>
      </c>
      <c r="X55" s="143">
        <f>AD49</f>
        <v>9.1880241023060028E-4</v>
      </c>
      <c r="Y55" s="143">
        <f>AD50</f>
        <v>5.6937717413431841E-3</v>
      </c>
      <c r="Z55" s="143">
        <f>AD51</f>
        <v>3.4429848562928848E-3</v>
      </c>
      <c r="AA55" s="143">
        <f>AD52</f>
        <v>6.0260418974813958E-3</v>
      </c>
      <c r="AB55" s="143">
        <f>AD53</f>
        <v>9.0485823911177245E-3</v>
      </c>
      <c r="AC55" s="143">
        <f>AD54</f>
        <v>3.670742147409953E-3</v>
      </c>
      <c r="AD55" s="151">
        <f>_xlfn.VAR.S(BN3:BN19)</f>
        <v>9.8581831213322667E-3</v>
      </c>
      <c r="AE55" s="143">
        <f>_xlfn.COVARIANCE.S($BN$3:$BN$19,BO3:BO19)</f>
        <v>-1.7013469939148372E-3</v>
      </c>
      <c r="AF55" s="143">
        <f t="shared" ref="AF55:AO55" si="47">_xlfn.COVARIANCE.S($BN$3:$BN$19,BP3:BP19)</f>
        <v>1.9448120708065824E-3</v>
      </c>
      <c r="AG55" s="143">
        <f t="shared" si="47"/>
        <v>9.0162885863795325E-3</v>
      </c>
      <c r="AH55" s="143">
        <f t="shared" si="47"/>
        <v>-1.9220312431918937E-3</v>
      </c>
      <c r="AI55" s="143">
        <f t="shared" si="47"/>
        <v>-5.1721711757504651E-3</v>
      </c>
      <c r="AJ55" s="143">
        <f t="shared" si="47"/>
        <v>2.0629798150159071E-3</v>
      </c>
      <c r="AK55" s="143">
        <f t="shared" si="47"/>
        <v>7.3997521713868942E-3</v>
      </c>
      <c r="AL55" s="143">
        <f t="shared" si="47"/>
        <v>6.4829973097745106E-3</v>
      </c>
      <c r="AM55" s="143">
        <f t="shared" si="47"/>
        <v>-1.0024337936408959E-3</v>
      </c>
      <c r="AN55" s="143">
        <f t="shared" si="47"/>
        <v>5.6439843135344518E-4</v>
      </c>
      <c r="AO55" s="143">
        <f t="shared" si="47"/>
        <v>9.5149676259524642E-4</v>
      </c>
      <c r="AP55"/>
      <c r="AQ55" s="119" t="s">
        <v>29</v>
      </c>
      <c r="AR55" s="181">
        <v>5.5215456421473366E-2</v>
      </c>
      <c r="AS55" s="119">
        <f t="shared" si="26"/>
        <v>5.5215456421473366E-2</v>
      </c>
    </row>
    <row r="56" spans="2:47" ht="15.75">
      <c r="B56" s="128" t="s">
        <v>132</v>
      </c>
      <c r="C56" s="140">
        <f>AE28</f>
        <v>5.1870837324511095E-2</v>
      </c>
      <c r="D56" s="143">
        <f>AE29</f>
        <v>-1.6207164362222859E-3</v>
      </c>
      <c r="E56" s="143">
        <f>AE30</f>
        <v>-2.5128943342690954E-3</v>
      </c>
      <c r="F56" s="143">
        <f>AE31</f>
        <v>-3.5076882762512169E-3</v>
      </c>
      <c r="G56" s="143">
        <f>AE32</f>
        <v>-1.1483179318374547E-3</v>
      </c>
      <c r="H56" s="143">
        <f>AE33</f>
        <v>-5.3816823464228748E-4</v>
      </c>
      <c r="I56" s="143">
        <f>AE34</f>
        <v>-1.3914364672927074E-2</v>
      </c>
      <c r="J56" s="143">
        <f>AE35</f>
        <v>-9.0220015132628627E-3</v>
      </c>
      <c r="K56" s="143">
        <f>AE36</f>
        <v>8.9750683160267069E-4</v>
      </c>
      <c r="L56" s="143">
        <f>AE37</f>
        <v>1.9835850775671623E-3</v>
      </c>
      <c r="M56" s="143">
        <f>AE38</f>
        <v>-1.1335970784526623E-2</v>
      </c>
      <c r="N56" s="143">
        <f>AE39</f>
        <v>-2.3659310441637982E-2</v>
      </c>
      <c r="O56" s="143">
        <f>AE40</f>
        <v>-1.9565436043124363E-3</v>
      </c>
      <c r="P56" s="143">
        <f>AE41</f>
        <v>-5.6995923372849741E-3</v>
      </c>
      <c r="Q56" s="143">
        <f>AE42</f>
        <v>-5.3200425441876477E-3</v>
      </c>
      <c r="R56" s="143">
        <f>AE43</f>
        <v>-1.6847743227422406E-2</v>
      </c>
      <c r="S56" s="143">
        <f>AE44</f>
        <v>-2.5064120912609501E-2</v>
      </c>
      <c r="T56" s="143">
        <f>AE45</f>
        <v>-1.7013469939148372E-3</v>
      </c>
      <c r="U56" s="143">
        <f>AE46</f>
        <v>6.1497372600378486E-4</v>
      </c>
      <c r="V56" s="143">
        <f>AE47</f>
        <v>-9.4414638743913586E-3</v>
      </c>
      <c r="W56" s="143">
        <f>AE48</f>
        <v>-1.0684198279776127E-2</v>
      </c>
      <c r="X56" s="143">
        <f>AE49</f>
        <v>-2.0484547809197125E-3</v>
      </c>
      <c r="Y56" s="143">
        <f>AE50</f>
        <v>-5.4443836829882611E-3</v>
      </c>
      <c r="Z56" s="143">
        <f>AE51</f>
        <v>-7.0810877742524354E-3</v>
      </c>
      <c r="AA56" s="143">
        <f>AE52</f>
        <v>-8.7585406813760159E-4</v>
      </c>
      <c r="AB56" s="143">
        <f>AE53</f>
        <v>2.1550494486604942E-3</v>
      </c>
      <c r="AC56" s="143">
        <f>AE54</f>
        <v>-2.9406226123574342E-3</v>
      </c>
      <c r="AD56" s="143">
        <f>AE55</f>
        <v>-1.7013469939148372E-3</v>
      </c>
      <c r="AE56" s="151">
        <f>_xlfn.VAR.S(BO3:BO19)</f>
        <v>1.1960457439177575E-2</v>
      </c>
      <c r="AF56" s="143">
        <f>_xlfn.COVARIANCE.S(BO3:$BO$15,BP3:BP15)</f>
        <v>4.3366985629518405E-3</v>
      </c>
      <c r="AG56" s="143">
        <f>_xlfn.COVARIANCE.S($BO$3:$BO$19,BQ3:BQ19)</f>
        <v>2.4312367868458409E-3</v>
      </c>
      <c r="AH56" s="143">
        <f t="shared" ref="AH56:AO56" si="48">_xlfn.COVARIANCE.S($BO$3:$BO$19,BR3:BR19)</f>
        <v>6.1178740243121301E-3</v>
      </c>
      <c r="AI56" s="143">
        <f t="shared" si="48"/>
        <v>8.9247146775403574E-3</v>
      </c>
      <c r="AJ56" s="143">
        <f t="shared" si="48"/>
        <v>-4.248775184836778E-4</v>
      </c>
      <c r="AK56" s="143">
        <f t="shared" si="48"/>
        <v>-6.0569110620861764E-4</v>
      </c>
      <c r="AL56" s="143">
        <f t="shared" si="48"/>
        <v>4.1280063626413493E-3</v>
      </c>
      <c r="AM56" s="143">
        <f t="shared" si="48"/>
        <v>5.4038609395782038E-4</v>
      </c>
      <c r="AN56" s="143">
        <f t="shared" si="48"/>
        <v>-1.83304479320397E-3</v>
      </c>
      <c r="AO56" s="143">
        <f t="shared" si="48"/>
        <v>-5.0809971895864406E-3</v>
      </c>
      <c r="AQ56" s="119" t="s">
        <v>31</v>
      </c>
      <c r="AR56" s="181">
        <v>5.398803802287129E-2</v>
      </c>
      <c r="AS56" s="119">
        <f t="shared" si="26"/>
        <v>5.398803802287129E-2</v>
      </c>
    </row>
    <row r="57" spans="2:47" ht="15.75">
      <c r="B57" s="128" t="s">
        <v>133</v>
      </c>
      <c r="C57" s="135">
        <f>AF28</f>
        <v>0</v>
      </c>
      <c r="D57" s="143">
        <f>AF29</f>
        <v>-2.9578540210258371E-3</v>
      </c>
      <c r="E57" s="143">
        <f>AF30</f>
        <v>-7.8842208934372052E-3</v>
      </c>
      <c r="F57" s="143">
        <f>AF31</f>
        <v>2.5341691093703372E-3</v>
      </c>
      <c r="G57" s="143">
        <f>AF32</f>
        <v>-4.2537255551786069E-3</v>
      </c>
      <c r="H57" s="143">
        <f>AF33</f>
        <v>-1.7924267903187411E-2</v>
      </c>
      <c r="I57" s="143">
        <f>AF34</f>
        <v>1.7533569270888119E-3</v>
      </c>
      <c r="J57" s="143">
        <f>AF35</f>
        <v>-7.5498646274755332E-3</v>
      </c>
      <c r="K57" s="143">
        <f>AF36</f>
        <v>5.9139651505591452E-3</v>
      </c>
      <c r="L57" s="143">
        <f>AF37</f>
        <v>6.8001349907596152E-3</v>
      </c>
      <c r="M57" s="143">
        <f>AF38</f>
        <v>-1.3138283000649911E-2</v>
      </c>
      <c r="N57" s="143">
        <f>AF39</f>
        <v>0.32588576368393107</v>
      </c>
      <c r="O57" s="143">
        <f>AF40</f>
        <v>-1.256105916775102E-3</v>
      </c>
      <c r="P57" s="143">
        <f>AF41</f>
        <v>6.9957936100070355E-3</v>
      </c>
      <c r="Q57" s="143">
        <f>AF42</f>
        <v>-1.2622699927002563E-3</v>
      </c>
      <c r="R57" s="143">
        <f>AF43</f>
        <v>-3.7099154067935223E-3</v>
      </c>
      <c r="S57" s="143">
        <f>AF44</f>
        <v>3.8431964746272959E-2</v>
      </c>
      <c r="T57" s="143">
        <f>AF45</f>
        <v>4.3366985629518405E-3</v>
      </c>
      <c r="U57" s="143">
        <f>AF46</f>
        <v>-8.1332770595481942E-4</v>
      </c>
      <c r="V57" s="143">
        <f>AF47</f>
        <v>1.066154186995818E-2</v>
      </c>
      <c r="W57" s="143">
        <f>AF48</f>
        <v>2.090257567646929E-2</v>
      </c>
      <c r="X57" s="143">
        <f>AF49</f>
        <v>-5.1166774697093739E-3</v>
      </c>
      <c r="Y57" s="143">
        <f>AF50</f>
        <v>-1.8950140068659088E-4</v>
      </c>
      <c r="Z57" s="143">
        <f>AF51</f>
        <v>-4.2730145158084215E-3</v>
      </c>
      <c r="AA57" s="143">
        <f>AF52</f>
        <v>1.17602177636544E-4</v>
      </c>
      <c r="AB57" s="143">
        <f>AF53</f>
        <v>4.0961284143897969E-3</v>
      </c>
      <c r="AC57" s="143">
        <f>AF54</f>
        <v>1.199253156316018E-3</v>
      </c>
      <c r="AD57" s="143">
        <f>AF55</f>
        <v>1.9448120708065824E-3</v>
      </c>
      <c r="AE57" s="143">
        <f>AF56</f>
        <v>4.3366985629518405E-3</v>
      </c>
      <c r="AF57" s="151">
        <f>_xlfn.VAR.S(BP3:BP15)</f>
        <v>4.4360064522520171E-2</v>
      </c>
      <c r="AG57" s="143">
        <f>_xlfn.COVARIANCE.S($BP$3:$BP$15,BQ3:BQ15)</f>
        <v>2.8402788032310375E-2</v>
      </c>
      <c r="AH57" s="143">
        <f t="shared" ref="AH57:AO57" si="49">_xlfn.COVARIANCE.S($BP$3:$BP$15,BR3:BR15)</f>
        <v>-2.1539202155497444E-3</v>
      </c>
      <c r="AI57" s="143">
        <f t="shared" si="49"/>
        <v>6.6281902462781263E-3</v>
      </c>
      <c r="AJ57" s="143">
        <f t="shared" si="49"/>
        <v>-6.5206909551294807E-3</v>
      </c>
      <c r="AK57" s="143">
        <f t="shared" si="49"/>
        <v>-6.4979830724551527E-3</v>
      </c>
      <c r="AL57" s="143">
        <f t="shared" si="49"/>
        <v>-7.6968490703402349E-3</v>
      </c>
      <c r="AM57" s="143">
        <f t="shared" si="49"/>
        <v>-1.1874679268453708E-3</v>
      </c>
      <c r="AN57" s="143">
        <f t="shared" si="49"/>
        <v>3.1211594391198009E-3</v>
      </c>
      <c r="AO57" s="143">
        <f t="shared" si="49"/>
        <v>-1.3365897660198441E-2</v>
      </c>
      <c r="AQ57" s="119" t="s">
        <v>33</v>
      </c>
      <c r="AR57" s="181">
        <v>3.329226291024176E-2</v>
      </c>
      <c r="AS57" s="119">
        <f t="shared" si="26"/>
        <v>3.329226291024176E-2</v>
      </c>
    </row>
    <row r="58" spans="2:47" ht="15.75">
      <c r="B58" s="128" t="s">
        <v>134</v>
      </c>
      <c r="C58" s="140">
        <f>AG28</f>
        <v>2.7245288291662391E-3</v>
      </c>
      <c r="D58" s="143">
        <f>AG29</f>
        <v>-5.4210335453054401E-3</v>
      </c>
      <c r="E58" s="143">
        <f>AG30</f>
        <v>-2.9865046517199914E-3</v>
      </c>
      <c r="F58" s="143">
        <f>AG31</f>
        <v>-3.7779480059709446E-4</v>
      </c>
      <c r="G58" s="143">
        <f>AG32</f>
        <v>-2.0240766341428872E-3</v>
      </c>
      <c r="H58" s="143">
        <f>AG33</f>
        <v>-1.1004156321513643E-2</v>
      </c>
      <c r="I58" s="143">
        <f>AG34</f>
        <v>-1.8822809591296032E-2</v>
      </c>
      <c r="J58" s="143">
        <f>AG35</f>
        <v>-1.3610844008755587E-2</v>
      </c>
      <c r="K58" s="143">
        <f>AG36</f>
        <v>9.0817039268410518E-3</v>
      </c>
      <c r="L58" s="143">
        <f>AG37</f>
        <v>8.3408227320350276E-3</v>
      </c>
      <c r="M58" s="143">
        <f>AG38</f>
        <v>-6.8888787103322403E-3</v>
      </c>
      <c r="N58" s="143">
        <f>AG39</f>
        <v>0.37240676393650129</v>
      </c>
      <c r="O58" s="143">
        <f>AG40</f>
        <v>4.6027138183784183E-5</v>
      </c>
      <c r="P58" s="143">
        <f>AG41</f>
        <v>-5.2299433443011127E-3</v>
      </c>
      <c r="Q58" s="143">
        <f>AG42</f>
        <v>-4.418124090144312E-3</v>
      </c>
      <c r="R58" s="143">
        <f>AG43</f>
        <v>-2.6149189441184474E-2</v>
      </c>
      <c r="S58" s="143">
        <f>AG44</f>
        <v>-4.0364887313086788E-2</v>
      </c>
      <c r="T58" s="143">
        <f>AG45</f>
        <v>2.8402788032310375E-2</v>
      </c>
      <c r="U58" s="143">
        <f>AG46</f>
        <v>-2.6669939331038315E-3</v>
      </c>
      <c r="V58" s="143">
        <f>AG47</f>
        <v>-6.2007753413520269E-3</v>
      </c>
      <c r="W58" s="143">
        <f>AG48</f>
        <v>-1.0511763962617233E-2</v>
      </c>
      <c r="X58" s="143">
        <f>AG49</f>
        <v>-8.5799496506384367E-4</v>
      </c>
      <c r="Y58" s="143">
        <f>AG50</f>
        <v>1.0664447111032812E-2</v>
      </c>
      <c r="Z58" s="143">
        <f>AG51</f>
        <v>-6.8382006003359667E-3</v>
      </c>
      <c r="AA58" s="143">
        <f>AG52</f>
        <v>-6.4903755928678863E-4</v>
      </c>
      <c r="AB58" s="143">
        <f>AG53</f>
        <v>7.6077334462090343E-3</v>
      </c>
      <c r="AC58" s="143">
        <f>AG54</f>
        <v>8.0643658105364628E-4</v>
      </c>
      <c r="AD58" s="143">
        <f>AG55</f>
        <v>9.0162885863795325E-3</v>
      </c>
      <c r="AE58" s="143">
        <f>AG56</f>
        <v>2.4312367868458409E-3</v>
      </c>
      <c r="AF58" s="143">
        <f>AG57</f>
        <v>2.8402788032310375E-2</v>
      </c>
      <c r="AG58" s="151">
        <f>_xlfn.VAR.S(BQ3:BQ19)</f>
        <v>6.8292263882037726E-2</v>
      </c>
      <c r="AH58" s="143">
        <f>_xlfn.COVARIANCE.S($BQ$3:$BQ$19,BR3:BR19)</f>
        <v>-6.8371539801929636E-3</v>
      </c>
      <c r="AI58" s="143">
        <f>_xlfn.COVARIANCE.S($BQ$3:$BQ$19,BS3:BS19)</f>
        <v>-1.6258283683085488E-3</v>
      </c>
      <c r="AJ58" s="143">
        <f t="shared" ref="AJ58:AO58" si="50">_xlfn.COVARIANCE.S($BQ$3:$BQ$19,BT3:BT19)</f>
        <v>-3.3107610695351803E-3</v>
      </c>
      <c r="AK58" s="143">
        <f t="shared" si="50"/>
        <v>-3.3827234451900565E-3</v>
      </c>
      <c r="AL58" s="143">
        <f t="shared" si="50"/>
        <v>-1.5481793188327079E-3</v>
      </c>
      <c r="AM58" s="143">
        <f t="shared" si="50"/>
        <v>-3.4869222210482283E-3</v>
      </c>
      <c r="AN58" s="143">
        <f t="shared" si="50"/>
        <v>-1.404378040590404E-3</v>
      </c>
      <c r="AO58" s="143">
        <f t="shared" si="50"/>
        <v>-8.0665360946161769E-3</v>
      </c>
      <c r="AQ58" s="119" t="s">
        <v>35</v>
      </c>
      <c r="AR58" s="181">
        <v>2.1293446165383475E-2</v>
      </c>
      <c r="AS58" s="119">
        <f t="shared" si="26"/>
        <v>2.1293446165383475E-2</v>
      </c>
    </row>
    <row r="59" spans="2:47" ht="15.75">
      <c r="B59" s="128" t="s">
        <v>135</v>
      </c>
      <c r="C59" s="140">
        <f>AH28</f>
        <v>0</v>
      </c>
      <c r="D59" s="143">
        <f>AH29</f>
        <v>1.1984320555102036E-4</v>
      </c>
      <c r="E59" s="143">
        <f>AH30</f>
        <v>-1.898544384844494E-3</v>
      </c>
      <c r="F59" s="143">
        <f>AH31</f>
        <v>-2.6413429194899899E-3</v>
      </c>
      <c r="G59" s="143">
        <f>AH32</f>
        <v>-1.5042303637718903E-3</v>
      </c>
      <c r="H59" s="143">
        <f>AH33</f>
        <v>4.1515643442773167E-3</v>
      </c>
      <c r="I59" s="143">
        <f>AH34</f>
        <v>-4.5946080463716479E-3</v>
      </c>
      <c r="J59" s="143">
        <f>AH35</f>
        <v>-4.0107415930048084E-3</v>
      </c>
      <c r="K59" s="143">
        <f>AH36</f>
        <v>-8.232209824130404E-4</v>
      </c>
      <c r="L59" s="143">
        <f>AH37</f>
        <v>3.3507812586503833E-4</v>
      </c>
      <c r="M59" s="143">
        <f>AH38</f>
        <v>-3.2603280978858208E-3</v>
      </c>
      <c r="N59" s="143">
        <f>AH39</f>
        <v>2.7300084493276054E-2</v>
      </c>
      <c r="O59" s="143">
        <f>AH40</f>
        <v>6.17110789657514E-4</v>
      </c>
      <c r="P59" s="143">
        <f>AH41</f>
        <v>-2.8471348810386863E-3</v>
      </c>
      <c r="Q59" s="143">
        <f>AH42</f>
        <v>-3.6399572805015479E-3</v>
      </c>
      <c r="R59" s="143">
        <f>AH43</f>
        <v>-3.5599759411762211E-3</v>
      </c>
      <c r="S59" s="143">
        <f>AH44</f>
        <v>-2.0249222492615439E-2</v>
      </c>
      <c r="T59" s="143">
        <f>AH45</f>
        <v>-6.8371539801929636E-3</v>
      </c>
      <c r="U59" s="143">
        <f>AH46</f>
        <v>-1.842299529023497E-3</v>
      </c>
      <c r="V59" s="143">
        <f>AH47</f>
        <v>-6.6617683119784814E-3</v>
      </c>
      <c r="W59" s="143">
        <f>AH48</f>
        <v>-6.4498433131995343E-3</v>
      </c>
      <c r="X59" s="143">
        <f>AH49</f>
        <v>-2.9955936441039476E-3</v>
      </c>
      <c r="Y59" s="143">
        <f>AH50</f>
        <v>-4.8347247437324709E-3</v>
      </c>
      <c r="Z59" s="143">
        <f>AH51</f>
        <v>-2.3645073011006523E-3</v>
      </c>
      <c r="AA59" s="143">
        <f>AH52</f>
        <v>-1.1075258218177708E-3</v>
      </c>
      <c r="AB59" s="143">
        <f>AH53</f>
        <v>-1.3183978494833541E-3</v>
      </c>
      <c r="AC59" s="143">
        <f>AH54</f>
        <v>-2.6454727025857733E-3</v>
      </c>
      <c r="AD59" s="143">
        <f>AH55</f>
        <v>-1.9220312431918937E-3</v>
      </c>
      <c r="AE59" s="143">
        <f>AH56</f>
        <v>6.1178740243121301E-3</v>
      </c>
      <c r="AF59" s="143">
        <f>AH57</f>
        <v>-2.1539202155497444E-3</v>
      </c>
      <c r="AG59" s="143">
        <f>AH58</f>
        <v>-6.8371539801929636E-3</v>
      </c>
      <c r="AH59" s="151">
        <f>_xlfn.VAR.S(BR3:BR19)</f>
        <v>7.210895929335881E-3</v>
      </c>
      <c r="AI59" s="143">
        <f>_xlfn.COVARIANCE.S($BR$3:$BR$19,BS3:BS19)</f>
        <v>6.0728846628530413E-3</v>
      </c>
      <c r="AJ59" s="143">
        <f t="shared" ref="AJ59:AO59" si="51">_xlfn.COVARIANCE.S($BR$3:$BR$19,BT3:BT19)</f>
        <v>-1.8900966944306553E-3</v>
      </c>
      <c r="AK59" s="143">
        <f t="shared" si="51"/>
        <v>2.972027004156184E-3</v>
      </c>
      <c r="AL59" s="143">
        <f t="shared" si="51"/>
        <v>4.9319510773188019E-3</v>
      </c>
      <c r="AM59" s="143">
        <f t="shared" si="51"/>
        <v>-2.1082944246058099E-3</v>
      </c>
      <c r="AN59" s="143">
        <f t="shared" si="51"/>
        <v>-2.4460567613076344E-3</v>
      </c>
      <c r="AO59" s="143">
        <f t="shared" si="51"/>
        <v>-2.7167918501887628E-3</v>
      </c>
      <c r="AQ59" s="119" t="s">
        <v>41</v>
      </c>
      <c r="AR59" s="181">
        <v>1</v>
      </c>
      <c r="AS59" s="119">
        <f t="shared" si="26"/>
        <v>1</v>
      </c>
    </row>
    <row r="60" spans="2:47" ht="15.75">
      <c r="B60" s="128" t="s">
        <v>136</v>
      </c>
      <c r="C60" s="140">
        <f>AI28</f>
        <v>1.7155182750313896E-2</v>
      </c>
      <c r="D60" s="143">
        <f>AI29</f>
        <v>-9.2341718443106585E-4</v>
      </c>
      <c r="E60" s="143">
        <f>AI30</f>
        <v>-3.5487754941181909E-3</v>
      </c>
      <c r="F60" s="143">
        <f>AI31</f>
        <v>-1.7719307444153244E-3</v>
      </c>
      <c r="G60" s="143">
        <f>AI32</f>
        <v>-1.2307853232197804E-3</v>
      </c>
      <c r="H60" s="143">
        <f>AI33</f>
        <v>-4.5712041882512303E-3</v>
      </c>
      <c r="I60" s="143">
        <f>AI34</f>
        <v>-1.0188491991858166E-2</v>
      </c>
      <c r="J60" s="143">
        <f>AI35</f>
        <v>-2.7960395473676509E-3</v>
      </c>
      <c r="K60" s="143">
        <f>AI36</f>
        <v>-6.7413309498092302E-4</v>
      </c>
      <c r="L60" s="143">
        <f>AI37</f>
        <v>4.8824696396627537E-3</v>
      </c>
      <c r="M60" s="143">
        <f>AI38</f>
        <v>-1.1046035615592632E-2</v>
      </c>
      <c r="N60" s="143">
        <f>AI39</f>
        <v>-1.8051940296033284E-2</v>
      </c>
      <c r="O60" s="143">
        <f>AI40</f>
        <v>-3.0322917961456788E-3</v>
      </c>
      <c r="P60" s="143">
        <f>AI41</f>
        <v>-9.4188802541925003E-4</v>
      </c>
      <c r="Q60" s="143">
        <f>AI42</f>
        <v>-2.598336230753345E-3</v>
      </c>
      <c r="R60" s="143">
        <f>AI43</f>
        <v>-2.0433839387733986E-2</v>
      </c>
      <c r="S60" s="143">
        <f>AI44</f>
        <v>-3.5122897520366923E-2</v>
      </c>
      <c r="T60" s="143">
        <f>AI45</f>
        <v>6.0728846628530413E-3</v>
      </c>
      <c r="U60" s="143">
        <f>AI46</f>
        <v>2.0756853453160252E-3</v>
      </c>
      <c r="V60" s="143">
        <f>AI47</f>
        <v>-2.0198565511030642E-3</v>
      </c>
      <c r="W60" s="143">
        <f>AI48</f>
        <v>1.7600287669555605E-3</v>
      </c>
      <c r="X60" s="143">
        <f>AI49</f>
        <v>-1.1004668675141027E-3</v>
      </c>
      <c r="Y60" s="143">
        <f>AI50</f>
        <v>-4.8758274943039078E-3</v>
      </c>
      <c r="Z60" s="143">
        <f>AI51</f>
        <v>-4.2388116392923373E-3</v>
      </c>
      <c r="AA60" s="143">
        <f>AI52</f>
        <v>1.3700720097198403E-4</v>
      </c>
      <c r="AB60" s="143">
        <f>AI53</f>
        <v>1.623993980309415E-3</v>
      </c>
      <c r="AC60" s="143">
        <f>AI54</f>
        <v>-4.2147577874932594E-3</v>
      </c>
      <c r="AD60" s="143">
        <f>AI55</f>
        <v>-5.1721711757504651E-3</v>
      </c>
      <c r="AE60" s="143">
        <f>AI56</f>
        <v>8.9247146775403574E-3</v>
      </c>
      <c r="AF60" s="143">
        <f>AI57</f>
        <v>6.6281902462781263E-3</v>
      </c>
      <c r="AG60" s="143">
        <f>AI58</f>
        <v>-1.6258283683085488E-3</v>
      </c>
      <c r="AH60" s="143">
        <f>AI59</f>
        <v>6.0728846628530413E-3</v>
      </c>
      <c r="AI60" s="151">
        <f>_xlfn.VAR.S(BS3:BS19)</f>
        <v>1.8822345907532931E-2</v>
      </c>
      <c r="AJ60" s="143">
        <f>_xlfn.COVARIANCE.S($BS$3:$BS$19,BT3:BT19)</f>
        <v>-7.3394876053157012E-4</v>
      </c>
      <c r="AK60" s="255">
        <f t="shared" ref="AK60:AO60" si="52">_xlfn.COVARIANCE.S($BS$3:$BS$19,BU3:BU19)</f>
        <v>-4.9965372763309426E-4</v>
      </c>
      <c r="AL60" s="143">
        <f t="shared" si="52"/>
        <v>3.0853593008556019E-3</v>
      </c>
      <c r="AM60" s="143">
        <f t="shared" si="52"/>
        <v>2.2050637337132518E-3</v>
      </c>
      <c r="AN60" s="143">
        <f t="shared" si="52"/>
        <v>-1.010285184973171E-3</v>
      </c>
      <c r="AO60" s="143">
        <f t="shared" si="52"/>
        <v>3.0704049927538228E-5</v>
      </c>
      <c r="AQ60" s="156"/>
      <c r="AR60" s="156">
        <v>1.079263295025199</v>
      </c>
      <c r="AS60" s="156"/>
    </row>
    <row r="61" spans="2:47">
      <c r="B61" s="128" t="s">
        <v>182</v>
      </c>
      <c r="C61" s="254">
        <f>AJ28</f>
        <v>6.316645317188738E-3</v>
      </c>
      <c r="D61" s="256">
        <f>$AJ$29</f>
        <v>1.2929254902215837E-3</v>
      </c>
      <c r="E61" s="256">
        <f>$AJ$30</f>
        <v>6.3976167030102123E-5</v>
      </c>
      <c r="F61" s="256">
        <f>$AJ$31</f>
        <v>1.5173826401804302E-3</v>
      </c>
      <c r="G61" s="256">
        <f>$AJ$32</f>
        <v>2.717834076864282E-3</v>
      </c>
      <c r="H61" s="256">
        <f>$AJ$33</f>
        <v>-5.0935653541613795E-3</v>
      </c>
      <c r="I61" s="256">
        <f>$AJ$34</f>
        <v>3.2111820985003536E-4</v>
      </c>
      <c r="J61" s="256">
        <f>$AJ$35</f>
        <v>1.1304798723189584E-3</v>
      </c>
      <c r="K61" s="256">
        <f>$AJ$36</f>
        <v>-2.3617349365508995E-4</v>
      </c>
      <c r="L61" s="256">
        <f>$AJ$37</f>
        <v>-3.1473855167820069E-4</v>
      </c>
      <c r="M61" s="256">
        <f>$AJ$38</f>
        <v>2.3154604802001688E-3</v>
      </c>
      <c r="N61" s="256">
        <f>$AJ$39</f>
        <v>-6.0833616585125094E-2</v>
      </c>
      <c r="O61" s="256">
        <f>$AJ$40</f>
        <v>-4.9232987194846179E-4</v>
      </c>
      <c r="P61" s="256">
        <f>$AJ$41</f>
        <v>6.9034475544564545E-4</v>
      </c>
      <c r="Q61" s="256">
        <f>$AJ$42</f>
        <v>2.8515253592668495E-3</v>
      </c>
      <c r="R61" s="256">
        <f>$AJ$43</f>
        <v>-5.0012603080446319E-3</v>
      </c>
      <c r="S61" s="256">
        <f>$AJ$44</f>
        <v>1.1572238394279887E-3</v>
      </c>
      <c r="T61" s="256">
        <f>$AJ$45</f>
        <v>-7.3394876053157012E-4</v>
      </c>
      <c r="U61" s="256">
        <f>$AJ$46</f>
        <v>3.4640006033494894E-3</v>
      </c>
      <c r="V61" s="256">
        <f>$AJ$47</f>
        <v>2.8779666086068099E-3</v>
      </c>
      <c r="W61" s="256">
        <f>$AJ$48</f>
        <v>-3.8803675229085073E-3</v>
      </c>
      <c r="X61" s="256">
        <f>$AJ$49</f>
        <v>2.7157474871173362E-3</v>
      </c>
      <c r="Y61" s="256">
        <f>$AJ$50</f>
        <v>3.0885584215291683E-3</v>
      </c>
      <c r="Z61" s="256">
        <f>$AJ$51</f>
        <v>7.7685591169766323E-4</v>
      </c>
      <c r="AA61" s="256">
        <f>$AJ$52</f>
        <v>3.1444319384087115E-3</v>
      </c>
      <c r="AB61" s="256">
        <f>$AJ$53</f>
        <v>2.811186617363657E-3</v>
      </c>
      <c r="AC61" s="256">
        <f>$AJ$54</f>
        <v>1.644216064500536E-3</v>
      </c>
      <c r="AD61" s="256">
        <f>$AJ$55</f>
        <v>2.0629798150159071E-3</v>
      </c>
      <c r="AE61" s="256">
        <f>$AJ$56</f>
        <v>-4.248775184836778E-4</v>
      </c>
      <c r="AF61" s="256">
        <f>$AJ$57</f>
        <v>-6.5206909551294807E-3</v>
      </c>
      <c r="AG61" s="256">
        <f>$AJ$58</f>
        <v>-3.3107610695351803E-3</v>
      </c>
      <c r="AH61" s="256">
        <f>$AJ$59</f>
        <v>-1.8900966944306553E-3</v>
      </c>
      <c r="AI61" s="256">
        <f>$AJ$60</f>
        <v>-7.3394876053157012E-4</v>
      </c>
      <c r="AJ61" s="257">
        <f>_xlfn.VAR.S(BT3:BT19)</f>
        <v>5.0660309190848707E-3</v>
      </c>
      <c r="AK61" s="256">
        <f>_xlfn.COVARIANCE.S($BT$3:$BT$19,BU3:BU19)</f>
        <v>1.3263389744474264E-3</v>
      </c>
      <c r="AL61" s="256">
        <f t="shared" ref="AL61:AO61" si="53">_xlfn.COVARIANCE.S($BT$3:$BT$19,BV3:BV19)</f>
        <v>1.3055119069008518E-3</v>
      </c>
      <c r="AM61" s="256">
        <f t="shared" si="53"/>
        <v>1.8887438369807126E-3</v>
      </c>
      <c r="AN61" s="256">
        <f t="shared" si="53"/>
        <v>-8.2488042566626575E-6</v>
      </c>
      <c r="AO61" s="256">
        <f t="shared" si="53"/>
        <v>3.0100152946415178E-3</v>
      </c>
      <c r="AR61" s="119">
        <v>1</v>
      </c>
    </row>
    <row r="62" spans="2:47" ht="15.75">
      <c r="B62" s="128" t="s">
        <v>183</v>
      </c>
      <c r="C62" s="258">
        <f>AK28</f>
        <v>0</v>
      </c>
      <c r="D62" s="259">
        <f>$AK$29</f>
        <v>5.2982153954073017E-3</v>
      </c>
      <c r="E62" s="259">
        <f>$AK$30</f>
        <v>7.0778027544392806E-4</v>
      </c>
      <c r="F62" s="259">
        <f>$AK$31</f>
        <v>6.2148564192119054E-4</v>
      </c>
      <c r="G62" s="259">
        <f>$AK$32</f>
        <v>3.5069335382817667E-3</v>
      </c>
      <c r="H62" s="259">
        <f>$AK$33</f>
        <v>8.3377046653668012E-3</v>
      </c>
      <c r="I62" s="259">
        <f>$AK$34</f>
        <v>-1.7781776545022247E-3</v>
      </c>
      <c r="J62" s="259">
        <f>$AK$35</f>
        <v>-1.7294345572994594E-3</v>
      </c>
      <c r="K62" s="259">
        <f>$AK$36</f>
        <v>-2.4550328236870936E-3</v>
      </c>
      <c r="L62" s="259">
        <f>$AK$37</f>
        <v>-2.070225528509502E-3</v>
      </c>
      <c r="M62" s="259">
        <f>$AK$38</f>
        <v>1.1008101144978027E-2</v>
      </c>
      <c r="N62" s="259">
        <f>$AK$39</f>
        <v>5.2107068762726708E-2</v>
      </c>
      <c r="O62" s="259">
        <f>$AK$40</f>
        <v>6.6505965248299754E-3</v>
      </c>
      <c r="P62" s="259">
        <f>$AK$41</f>
        <v>7.1007500665964225E-4</v>
      </c>
      <c r="Q62" s="259">
        <f>$AK$42</f>
        <v>-2.6110665481139631E-3</v>
      </c>
      <c r="R62" s="259">
        <f>$AK$43</f>
        <v>1.4426688849821446E-2</v>
      </c>
      <c r="S62" s="259">
        <f>$AK$44</f>
        <v>3.0114224552600672E-2</v>
      </c>
      <c r="T62" s="259">
        <f>$AK$45</f>
        <v>1.3263389744474264E-3</v>
      </c>
      <c r="U62" s="259">
        <f>$AK$46</f>
        <v>-6.0735253097544148E-4</v>
      </c>
      <c r="V62" s="259">
        <f>$AK$47</f>
        <v>2.6394790942223675E-3</v>
      </c>
      <c r="W62" s="259">
        <f>$AK$48</f>
        <v>-3.5959785774590646E-3</v>
      </c>
      <c r="X62" s="259">
        <f>$AK$49</f>
        <v>-2.478723536717041E-3</v>
      </c>
      <c r="Y62" s="259">
        <f>$AK$50</f>
        <v>-1.7341489217770575E-3</v>
      </c>
      <c r="Z62" s="259">
        <f>$AK$51</f>
        <v>2.932571429206241E-3</v>
      </c>
      <c r="AA62" s="259">
        <f>$AK$52</f>
        <v>2.8960578797668133E-3</v>
      </c>
      <c r="AB62" s="259">
        <f>$AK$53</f>
        <v>6.2675931186365538E-3</v>
      </c>
      <c r="AC62" s="259">
        <f>$AK$54</f>
        <v>4.9351664004772741E-3</v>
      </c>
      <c r="AD62" s="259">
        <f>$AK$55</f>
        <v>7.3997521713868942E-3</v>
      </c>
      <c r="AE62" s="259">
        <f>$AK$56</f>
        <v>-6.0569110620861764E-4</v>
      </c>
      <c r="AF62" s="259">
        <f>$AK$57</f>
        <v>-6.4979830724551527E-3</v>
      </c>
      <c r="AG62" s="259">
        <f>$AK$58</f>
        <v>-3.3827234451900565E-3</v>
      </c>
      <c r="AH62" s="259">
        <f>$AK$59</f>
        <v>2.972027004156184E-3</v>
      </c>
      <c r="AI62" s="259">
        <f>$AK$60</f>
        <v>-4.9965372763309426E-4</v>
      </c>
      <c r="AJ62" s="259">
        <f>$AK$61</f>
        <v>1.3263389744474264E-3</v>
      </c>
      <c r="AK62" s="260">
        <f>_xlfn.VAR.S(BU3:BU19)</f>
        <v>2.2696454631256691E-2</v>
      </c>
      <c r="AL62" s="259">
        <f>_xlfn.COVARIANCE.S($BU$3:$BU$19,BV3:BV19)</f>
        <v>1.8151119776270104E-2</v>
      </c>
      <c r="AM62" s="259">
        <f t="shared" ref="AM62:AO62" si="54">_xlfn.COVARIANCE.S($BU$3:$BU$19,BW3:BW19)</f>
        <v>-2.688706446510624E-3</v>
      </c>
      <c r="AN62" s="259">
        <f t="shared" si="54"/>
        <v>-2.881768718028619E-3</v>
      </c>
      <c r="AO62" s="259">
        <f t="shared" si="54"/>
        <v>3.4991969328946925E-3</v>
      </c>
      <c r="AP62" s="156"/>
      <c r="AQ62" s="156"/>
      <c r="AR62" s="156"/>
      <c r="AS62" s="156"/>
      <c r="AT62" s="156"/>
      <c r="AU62" s="156"/>
    </row>
    <row r="63" spans="2:47" ht="15.75">
      <c r="B63" s="128" t="s">
        <v>184</v>
      </c>
      <c r="C63" s="258">
        <f>AL28</f>
        <v>4.5304989884285836E-2</v>
      </c>
      <c r="D63" s="259">
        <f>$AL$29</f>
        <v>3.8302386473189481E-3</v>
      </c>
      <c r="E63" s="259">
        <f>$AL$30</f>
        <v>-6.2481605525272919E-4</v>
      </c>
      <c r="F63" s="259">
        <f>$AL$31</f>
        <v>-8.3590358179113218E-5</v>
      </c>
      <c r="G63" s="259">
        <f>$AL$32</f>
        <v>2.2638804134699386E-3</v>
      </c>
      <c r="H63" s="259">
        <f>$AL$33</f>
        <v>4.1967775687414286E-3</v>
      </c>
      <c r="I63" s="259">
        <f>$AL$34</f>
        <v>-2.7329789692794003E-3</v>
      </c>
      <c r="J63" s="259">
        <f>$AL$35</f>
        <v>-2.5951155674385417E-3</v>
      </c>
      <c r="K63" s="259">
        <f>$AL$36</f>
        <v>-1.9703703981988831E-3</v>
      </c>
      <c r="L63" s="259">
        <f>$AL$37</f>
        <v>1.4000347651996028E-3</v>
      </c>
      <c r="M63" s="259">
        <f>$AL$38</f>
        <v>6.473338123029645E-3</v>
      </c>
      <c r="N63" s="259">
        <f>$AL$39</f>
        <v>5.8562328466889045E-2</v>
      </c>
      <c r="O63" s="259">
        <f>$AL$40</f>
        <v>6.3201456309251126E-3</v>
      </c>
      <c r="P63" s="259">
        <f>$AL$41</f>
        <v>1.3902935148703995E-3</v>
      </c>
      <c r="Q63" s="259">
        <f>$AL$42</f>
        <v>-2.9090540230884716E-3</v>
      </c>
      <c r="R63" s="259">
        <f>$AL$43</f>
        <v>6.4585342554560627E-3</v>
      </c>
      <c r="S63" s="259">
        <f>$AL$44</f>
        <v>9.9874173214360464E-3</v>
      </c>
      <c r="T63" s="259">
        <f>$AL$45</f>
        <v>1.8151119776270104E-2</v>
      </c>
      <c r="U63" s="259">
        <f>$AL$46</f>
        <v>-7.321239363348367E-4</v>
      </c>
      <c r="V63" s="259">
        <f>$AL$47</f>
        <v>-1.2442346851337708E-3</v>
      </c>
      <c r="W63" s="259">
        <f>$AL$48</f>
        <v>-7.8620726229065661E-3</v>
      </c>
      <c r="X63" s="259">
        <f>$AL$49</f>
        <v>-1.789026344901645E-3</v>
      </c>
      <c r="Y63" s="259">
        <f>$AL$50</f>
        <v>-2.2354404972271449E-3</v>
      </c>
      <c r="Z63" s="259">
        <f>$AL$51</f>
        <v>2.1556996084266212E-3</v>
      </c>
      <c r="AA63" s="259">
        <f>$AL$52</f>
        <v>5.6346735106692098E-3</v>
      </c>
      <c r="AB63" s="259">
        <f>$AL$53</f>
        <v>7.0900506453775679E-3</v>
      </c>
      <c r="AC63" s="259">
        <f>$AL$54</f>
        <v>1.7366700441526339E-3</v>
      </c>
      <c r="AD63" s="259">
        <f>$AL$55</f>
        <v>6.4829973097745106E-3</v>
      </c>
      <c r="AE63" s="259">
        <f>$AL$56</f>
        <v>4.1280063626413493E-3</v>
      </c>
      <c r="AF63" s="259">
        <f>$AL$57</f>
        <v>-7.6968490703402349E-3</v>
      </c>
      <c r="AG63" s="259">
        <f>$AL$58</f>
        <v>-1.5481793188327079E-3</v>
      </c>
      <c r="AH63" s="259">
        <f>$AL$59</f>
        <v>4.9319510773188019E-3</v>
      </c>
      <c r="AI63" s="259">
        <f>$AL$60</f>
        <v>3.0853593008556019E-3</v>
      </c>
      <c r="AJ63" s="259">
        <f>$AL$61</f>
        <v>1.3055119069008518E-3</v>
      </c>
      <c r="AK63" s="259">
        <f>$AL$62</f>
        <v>1.8151119776270104E-2</v>
      </c>
      <c r="AL63" s="260">
        <f>_xlfn.VAR.S(BV3:BV19)</f>
        <v>1.8885837181540015E-2</v>
      </c>
      <c r="AM63" s="259">
        <f>_xlfn.COVARIANCE.S($BV$3:$BV$19,BW3:BW19)</f>
        <v>-2.8362221642392964E-4</v>
      </c>
      <c r="AN63" s="259">
        <f t="shared" ref="AN63:AO63" si="55">_xlfn.COVARIANCE.S($BV$3:$BV$19,BX3:BX19)</f>
        <v>-2.7178283546355764E-3</v>
      </c>
      <c r="AO63" s="259">
        <f t="shared" si="55"/>
        <v>3.8129924136465049E-3</v>
      </c>
      <c r="AP63" s="156"/>
      <c r="AQ63" s="156"/>
      <c r="AR63" s="156"/>
      <c r="AS63" s="156"/>
      <c r="AT63" s="156"/>
      <c r="AU63" s="156"/>
    </row>
    <row r="64" spans="2:47" ht="15.75">
      <c r="B64" s="128" t="s">
        <v>185</v>
      </c>
      <c r="C64" s="258">
        <f>AM28</f>
        <v>4.0139792190415226E-2</v>
      </c>
      <c r="D64" s="259">
        <f>$AM$29</f>
        <v>-6.5612415769960284E-4</v>
      </c>
      <c r="E64" s="259">
        <f>$AM$30</f>
        <v>2.8599372363347481E-3</v>
      </c>
      <c r="F64" s="259">
        <f>$AM$31</f>
        <v>1.5258782641921007E-3</v>
      </c>
      <c r="G64" s="259">
        <f>$AM$32</f>
        <v>7.2227000830788835E-4</v>
      </c>
      <c r="H64" s="259">
        <f>$AM$33</f>
        <v>-3.8271338208160123E-3</v>
      </c>
      <c r="I64" s="259">
        <f>$AM$34</f>
        <v>3.9466213882132558E-3</v>
      </c>
      <c r="J64" s="259">
        <f>$AM$35</f>
        <v>3.6335045788365512E-3</v>
      </c>
      <c r="K64" s="259">
        <f>$AM$36</f>
        <v>2.439427326316843E-4</v>
      </c>
      <c r="L64" s="259">
        <f>$AM$37</f>
        <v>3.5175195357713476E-3</v>
      </c>
      <c r="M64" s="259">
        <f>$AM$38</f>
        <v>-1.4353955457434475E-3</v>
      </c>
      <c r="N64" s="259">
        <f>$AM$39</f>
        <v>-7.6339744912049437E-2</v>
      </c>
      <c r="O64" s="259">
        <f>$AM$40</f>
        <v>-2.2800502751552109E-6</v>
      </c>
      <c r="P64" s="259">
        <f>$AM$41</f>
        <v>2.9534203399193943E-3</v>
      </c>
      <c r="Q64" s="259">
        <f>$AM$42</f>
        <v>4.8735437674962741E-3</v>
      </c>
      <c r="R64" s="259">
        <f>$AM$43</f>
        <v>-3.8037796874635108E-3</v>
      </c>
      <c r="S64" s="259">
        <f>$AM$44</f>
        <v>-3.0347665662749353E-3</v>
      </c>
      <c r="T64" s="259">
        <f>$AM$45</f>
        <v>-2.8362221642392964E-4</v>
      </c>
      <c r="U64" s="259">
        <f>$AM$46</f>
        <v>2.67531236856726E-3</v>
      </c>
      <c r="V64" s="259">
        <f>$AM$47</f>
        <v>3.3571376536332596E-3</v>
      </c>
      <c r="W64" s="259">
        <f>$AM$48</f>
        <v>2.2151659751638302E-3</v>
      </c>
      <c r="X64" s="259">
        <f>$AM$49</f>
        <v>2.8573059328976533E-3</v>
      </c>
      <c r="Y64" s="259">
        <f>$AM$50</f>
        <v>-7.9592856966371041E-4</v>
      </c>
      <c r="Z64" s="259">
        <f>$AM$51</f>
        <v>2.835992379471157E-3</v>
      </c>
      <c r="AA64" s="259">
        <f>$AM$52</f>
        <v>5.7351137977294242E-3</v>
      </c>
      <c r="AB64" s="259">
        <f>$AM$53</f>
        <v>1.9490103710617219E-3</v>
      </c>
      <c r="AC64" s="259">
        <f>$AM$54</f>
        <v>-2.4553386930442882E-4</v>
      </c>
      <c r="AD64" s="259">
        <f>$AM$55</f>
        <v>-1.0024337936408959E-3</v>
      </c>
      <c r="AE64" s="259">
        <f>$AM$56</f>
        <v>5.4038609395782038E-4</v>
      </c>
      <c r="AF64" s="259">
        <f>$AM$57</f>
        <v>-1.1874679268453708E-3</v>
      </c>
      <c r="AG64" s="259">
        <f>$AM$58</f>
        <v>-3.4869222210482283E-3</v>
      </c>
      <c r="AH64" s="259">
        <f>$AM$59</f>
        <v>-2.1082944246058099E-3</v>
      </c>
      <c r="AI64" s="259">
        <f>$AM$60</f>
        <v>2.2050637337132518E-3</v>
      </c>
      <c r="AJ64" s="259">
        <f>$AM$61</f>
        <v>1.8887438369807126E-3</v>
      </c>
      <c r="AK64" s="259">
        <f>$AM$62</f>
        <v>-2.688706446510624E-3</v>
      </c>
      <c r="AL64" s="259">
        <f>$AM$63</f>
        <v>-2.8362221642392964E-4</v>
      </c>
      <c r="AM64" s="260">
        <f>_xlfn.VAR.S(BW3:BW19)</f>
        <v>6.2041163133318431E-3</v>
      </c>
      <c r="AN64" s="259">
        <f>_xlfn.COVARIANCE.S($BW$3:$BW$19,BX3:BX19)</f>
        <v>2.6645048033439112E-3</v>
      </c>
      <c r="AO64" s="259">
        <f>_xlfn.COVARIANCE.S($BW$3:$BW$19,BY3:BY19)</f>
        <v>5.0486172456844884E-3</v>
      </c>
      <c r="AP64" s="156"/>
      <c r="AQ64" s="156"/>
      <c r="AR64" s="156"/>
      <c r="AS64" s="156"/>
      <c r="AT64" s="156"/>
      <c r="AU64" s="156"/>
    </row>
    <row r="65" spans="1:47" ht="15.75">
      <c r="B65" s="128" t="s">
        <v>186</v>
      </c>
      <c r="C65" s="258">
        <f>AN28</f>
        <v>4.2569001516059954E-2</v>
      </c>
      <c r="D65" s="259">
        <f>$AN$29</f>
        <v>-4.2534920418768639E-4</v>
      </c>
      <c r="E65" s="259">
        <f>$AN$30</f>
        <v>2.7711413482316379E-3</v>
      </c>
      <c r="F65" s="259">
        <f>$AN$31</f>
        <v>1.447013034581894E-3</v>
      </c>
      <c r="G65" s="259">
        <f>$AN$32</f>
        <v>-5.8374517227011721E-4</v>
      </c>
      <c r="H65" s="259">
        <f>$AN$33</f>
        <v>-1.9055518757756633E-3</v>
      </c>
      <c r="I65" s="259">
        <f>$AN$34</f>
        <v>1.9384652766256739E-3</v>
      </c>
      <c r="J65" s="259">
        <f>$AN$35</f>
        <v>2.5400651324420436E-3</v>
      </c>
      <c r="K65" s="259">
        <f>$AN$36</f>
        <v>-1.3949671670398121E-3</v>
      </c>
      <c r="L65" s="259">
        <f>$AN$37</f>
        <v>-2.5356158074116468E-3</v>
      </c>
      <c r="M65" s="259">
        <f>$AN$38</f>
        <v>1.2399601153465363E-4</v>
      </c>
      <c r="N65" s="259">
        <f>$AN$39</f>
        <v>0.14015047001171399</v>
      </c>
      <c r="O65" s="259">
        <f>$AN$40</f>
        <v>5.5784201733802394E-4</v>
      </c>
      <c r="P65" s="259">
        <f>$AN$41</f>
        <v>2.1342763203218706E-3</v>
      </c>
      <c r="Q65" s="259">
        <f>$AN$42</f>
        <v>5.1954637887464614E-3</v>
      </c>
      <c r="R65" s="259">
        <f>$AN$43</f>
        <v>1.6990926480262879E-3</v>
      </c>
      <c r="S65" s="259">
        <f>$AN$44</f>
        <v>-1.4282069637166443E-3</v>
      </c>
      <c r="T65" s="259">
        <f>$AN$45</f>
        <v>2.6645048033439112E-3</v>
      </c>
      <c r="U65" s="259">
        <f>$AN$46</f>
        <v>7.5988621184234508E-4</v>
      </c>
      <c r="V65" s="259">
        <f>$AN$47</f>
        <v>7.9747948177401676E-3</v>
      </c>
      <c r="W65" s="259">
        <f>$AN$48</f>
        <v>8.8383598243154168E-3</v>
      </c>
      <c r="X65" s="259">
        <f>$AN$49</f>
        <v>3.5002221537304289E-3</v>
      </c>
      <c r="Y65" s="259">
        <f>$AN$50</f>
        <v>3.9238544292654418E-3</v>
      </c>
      <c r="Z65" s="259">
        <f>$AN$51</f>
        <v>1.5801634324910949E-3</v>
      </c>
      <c r="AA65" s="259">
        <f>$AN$52</f>
        <v>8.7713608134430826E-3</v>
      </c>
      <c r="AB65" s="259">
        <f>$AN$53</f>
        <v>-2.6039591864778595E-5</v>
      </c>
      <c r="AC65" s="259">
        <f>$AN$54</f>
        <v>2.8883147160658736E-3</v>
      </c>
      <c r="AD65" s="259">
        <f>$AN$55</f>
        <v>5.6439843135344518E-4</v>
      </c>
      <c r="AE65" s="259">
        <f>$AN$56</f>
        <v>-1.83304479320397E-3</v>
      </c>
      <c r="AF65" s="259">
        <f>$AN$57</f>
        <v>3.1211594391198009E-3</v>
      </c>
      <c r="AG65" s="259">
        <f>$AN$58</f>
        <v>-1.404378040590404E-3</v>
      </c>
      <c r="AH65" s="259">
        <f>$AN$59</f>
        <v>-2.4460567613076344E-3</v>
      </c>
      <c r="AI65" s="259">
        <f>$AN$60</f>
        <v>-1.010285184973171E-3</v>
      </c>
      <c r="AJ65" s="259">
        <f>$AN$61</f>
        <v>-8.2488042566626575E-6</v>
      </c>
      <c r="AK65" s="259">
        <f>$AN$62</f>
        <v>-2.881768718028619E-3</v>
      </c>
      <c r="AL65" s="259">
        <f>$AN$63</f>
        <v>-2.7178283546355764E-3</v>
      </c>
      <c r="AM65" s="259">
        <f>$AN$64</f>
        <v>2.6645048033439112E-3</v>
      </c>
      <c r="AN65" s="260">
        <f>_xlfn.VAR.S(BX3:BX19)</f>
        <v>1.0697998815388901E-2</v>
      </c>
      <c r="AO65" s="259">
        <f>_xlfn.COVARIANCE.S(BX3:BX19,BY3:BY19)</f>
        <v>1.6460159205576503E-3</v>
      </c>
      <c r="AP65" s="156"/>
      <c r="AQ65" s="156"/>
      <c r="AR65" s="156"/>
      <c r="AS65" s="156"/>
      <c r="AT65" s="156"/>
      <c r="AU65" s="156"/>
    </row>
    <row r="66" spans="1:47" ht="15.75">
      <c r="B66" s="128" t="s">
        <v>187</v>
      </c>
      <c r="C66" s="258">
        <f>AO28</f>
        <v>0</v>
      </c>
      <c r="D66" s="259">
        <f>$AO$29</f>
        <v>1.7733689209540964E-3</v>
      </c>
      <c r="E66" s="259">
        <f>$AO$30</f>
        <v>4.6924110757718537E-3</v>
      </c>
      <c r="F66" s="259">
        <f>$AO$31</f>
        <v>2.9059665117783795E-3</v>
      </c>
      <c r="G66" s="259">
        <f>$AO$32</f>
        <v>1.9328734242789966E-3</v>
      </c>
      <c r="H66" s="259">
        <f>$AO$33</f>
        <v>-3.8546608936286353E-3</v>
      </c>
      <c r="I66" s="259">
        <f>$AO$34</f>
        <v>1.0127089444457969E-2</v>
      </c>
      <c r="J66" s="259">
        <f>$AO$35</f>
        <v>9.8876162667329934E-3</v>
      </c>
      <c r="K66" s="259">
        <f>$AO$36</f>
        <v>-2.2698561500073757E-3</v>
      </c>
      <c r="L66" s="259">
        <f>$AO$37</f>
        <v>8.7240688210873138E-4</v>
      </c>
      <c r="M66" s="259">
        <f>$AO$38</f>
        <v>9.0893097183760603E-3</v>
      </c>
      <c r="N66" s="259">
        <f>$AO$39</f>
        <v>-6.4176074870158278E-2</v>
      </c>
      <c r="O66" s="259">
        <f>$AO$40</f>
        <v>3.3800706252990038E-3</v>
      </c>
      <c r="P66" s="259">
        <f>$AO$41</f>
        <v>6.5659413744284939E-3</v>
      </c>
      <c r="Q66" s="259">
        <f>$AO$42</f>
        <v>5.5901783981964276E-3</v>
      </c>
      <c r="R66" s="259">
        <f>$AO$43</f>
        <v>4.632593040583919E-3</v>
      </c>
      <c r="S66" s="259">
        <f>$AO$44</f>
        <v>-2.01594073103628E-3</v>
      </c>
      <c r="T66" s="259">
        <f>$AO$45</f>
        <v>1.6460159205576503E-3</v>
      </c>
      <c r="U66" s="259">
        <f>$AO$46</f>
        <v>1.6588616861294542E-3</v>
      </c>
      <c r="V66" s="259">
        <f>$AO$47</f>
        <v>8.4796494909369184E-3</v>
      </c>
      <c r="W66" s="259">
        <f>$AO$48</f>
        <v>1.3628582591716765E-3</v>
      </c>
      <c r="X66" s="259">
        <f>$AO$49</f>
        <v>3.9052296330297784E-3</v>
      </c>
      <c r="Y66" s="259">
        <f>$AO$50</f>
        <v>2.747218250625124E-3</v>
      </c>
      <c r="Z66" s="259">
        <f>$AO$51</f>
        <v>8.5849579156884199E-3</v>
      </c>
      <c r="AA66" s="259">
        <f>$AO$52</f>
        <v>9.3364214350687598E-3</v>
      </c>
      <c r="AB66" s="259">
        <f>$AO$53</f>
        <v>7.1239883519697673E-4</v>
      </c>
      <c r="AC66" s="259">
        <f>$AO$54</f>
        <v>7.287822460841462E-4</v>
      </c>
      <c r="AD66" s="259">
        <f>$AO$55</f>
        <v>9.5149676259524642E-4</v>
      </c>
      <c r="AE66" s="259">
        <f>$AO$56</f>
        <v>-5.0809971895864406E-3</v>
      </c>
      <c r="AF66" s="259">
        <f>$AO$57</f>
        <v>-1.3365897660198441E-2</v>
      </c>
      <c r="AG66" s="259">
        <f>$AO$58</f>
        <v>-8.0665360946161769E-3</v>
      </c>
      <c r="AH66" s="259">
        <f>$AO$59</f>
        <v>-2.7167918501887628E-3</v>
      </c>
      <c r="AI66" s="259">
        <f>$AO$60</f>
        <v>3.0704049927538228E-5</v>
      </c>
      <c r="AJ66" s="259">
        <f>$AO$61</f>
        <v>3.0100152946415178E-3</v>
      </c>
      <c r="AK66" s="259">
        <f>$AO$62</f>
        <v>3.4991969328946925E-3</v>
      </c>
      <c r="AL66" s="259">
        <f>$AO$63</f>
        <v>3.8129924136465049E-3</v>
      </c>
      <c r="AM66" s="259">
        <f>$AO$64</f>
        <v>5.0486172456844884E-3</v>
      </c>
      <c r="AN66" s="259">
        <f>$AO$65</f>
        <v>1.6460159205576503E-3</v>
      </c>
      <c r="AO66" s="260">
        <f>_xlfn.VAR.S(BY3:BY19)</f>
        <v>1.2412968882624326E-2</v>
      </c>
      <c r="AP66" s="156"/>
      <c r="AQ66" s="156"/>
      <c r="AR66" s="156"/>
      <c r="AS66" s="156"/>
      <c r="AT66" s="156"/>
      <c r="AU66" s="156"/>
    </row>
    <row r="67" spans="1:47">
      <c r="B67" s="128"/>
    </row>
    <row r="68" spans="1:47">
      <c r="B68" s="128"/>
    </row>
    <row r="70" spans="1:47" ht="15.75" thickBot="1">
      <c r="A70" s="157" t="s">
        <v>137</v>
      </c>
    </row>
    <row r="71" spans="1:47" ht="16.5" thickBot="1">
      <c r="A71" s="155"/>
      <c r="B71" s="156" t="s">
        <v>63</v>
      </c>
      <c r="C71" s="156" t="s">
        <v>10</v>
      </c>
      <c r="D71" s="156" t="s">
        <v>26</v>
      </c>
      <c r="E71" s="156" t="s">
        <v>29</v>
      </c>
      <c r="F71" s="156" t="s">
        <v>89</v>
      </c>
      <c r="G71" s="156" t="s">
        <v>90</v>
      </c>
      <c r="H71" s="156" t="s">
        <v>91</v>
      </c>
      <c r="I71" s="156" t="s">
        <v>92</v>
      </c>
      <c r="J71" s="156" t="s">
        <v>31</v>
      </c>
      <c r="K71" s="156" t="s">
        <v>102</v>
      </c>
      <c r="L71" s="156" t="s">
        <v>46</v>
      </c>
      <c r="M71" s="156" t="s">
        <v>33</v>
      </c>
      <c r="N71" s="156" t="s">
        <v>24</v>
      </c>
      <c r="O71" s="156" t="s">
        <v>95</v>
      </c>
      <c r="P71" s="156" t="s">
        <v>39</v>
      </c>
      <c r="Q71" s="156" t="s">
        <v>35</v>
      </c>
      <c r="R71" s="156" t="s">
        <v>96</v>
      </c>
      <c r="S71" s="156" t="s">
        <v>48</v>
      </c>
      <c r="T71" s="156" t="s">
        <v>97</v>
      </c>
      <c r="U71" s="156" t="s">
        <v>51</v>
      </c>
      <c r="V71" s="156" t="s">
        <v>53</v>
      </c>
      <c r="W71" s="156" t="s">
        <v>98</v>
      </c>
      <c r="X71" s="156" t="s">
        <v>68</v>
      </c>
      <c r="Y71" s="156" t="s">
        <v>71</v>
      </c>
      <c r="Z71" s="156" t="s">
        <v>99</v>
      </c>
      <c r="AA71" s="156" t="s">
        <v>56</v>
      </c>
      <c r="AB71" s="156" t="s">
        <v>59</v>
      </c>
      <c r="AC71" s="156" t="s">
        <v>101</v>
      </c>
      <c r="AD71" s="119" t="s">
        <v>61</v>
      </c>
      <c r="AE71" s="119" t="s">
        <v>176</v>
      </c>
      <c r="AF71" s="119" t="s">
        <v>177</v>
      </c>
      <c r="AG71" s="119" t="s">
        <v>178</v>
      </c>
      <c r="AH71" s="119" t="s">
        <v>179</v>
      </c>
      <c r="AI71" s="119" t="s">
        <v>180</v>
      </c>
      <c r="AJ71" s="119" t="s">
        <v>181</v>
      </c>
    </row>
    <row r="72" spans="1:47" ht="15.75">
      <c r="A72" s="156" t="s">
        <v>63</v>
      </c>
      <c r="B72" s="243">
        <v>1</v>
      </c>
      <c r="C72" s="244">
        <v>0.52283814946099161</v>
      </c>
      <c r="D72" s="244">
        <v>0.6600434912806572</v>
      </c>
      <c r="E72" s="244">
        <v>-0.12580369398327165</v>
      </c>
      <c r="F72" s="244">
        <v>0.50711813494916247</v>
      </c>
      <c r="G72" s="244">
        <v>0.36966985082589809</v>
      </c>
      <c r="H72" s="244">
        <v>-0.53519095052421939</v>
      </c>
      <c r="I72" s="244">
        <v>-0.38039026628549977</v>
      </c>
      <c r="J72" s="244">
        <v>0.72769749116904758</v>
      </c>
      <c r="K72" s="244">
        <v>0.16812435217243812</v>
      </c>
      <c r="L72" s="244">
        <v>0.34700371753073056</v>
      </c>
      <c r="M72" s="244">
        <v>0.11906798900975775</v>
      </c>
      <c r="N72" s="244">
        <v>0.57754133464052193</v>
      </c>
      <c r="O72" s="244">
        <v>0.54279980858112464</v>
      </c>
      <c r="P72" s="244">
        <v>0.46597993945674088</v>
      </c>
      <c r="Q72" s="244">
        <v>6.0668160573997638E-3</v>
      </c>
      <c r="R72" s="244">
        <v>0.56250665005006273</v>
      </c>
      <c r="S72" s="244">
        <v>0.36310738614229715</v>
      </c>
      <c r="T72" s="244">
        <v>7.1977946684596422E-2</v>
      </c>
      <c r="U72" s="244">
        <v>2.1639746857108962E-2</v>
      </c>
      <c r="V72" s="244">
        <v>0.21231124754555072</v>
      </c>
      <c r="W72" s="244">
        <v>0.11684007430074193</v>
      </c>
      <c r="X72" s="244">
        <v>0.45732246328034293</v>
      </c>
      <c r="Y72" s="244">
        <v>0.21161764875294889</v>
      </c>
      <c r="Z72" s="244">
        <v>0.58058945985257882</v>
      </c>
      <c r="AA72" s="244">
        <v>-0.26544514919887247</v>
      </c>
      <c r="AB72" s="244">
        <v>-0.371567732088535</v>
      </c>
      <c r="AC72" s="244">
        <v>2.5279032893071696E-2</v>
      </c>
      <c r="AD72" s="245">
        <v>-0.12055985834567509</v>
      </c>
      <c r="AE72" s="245">
        <v>0.32537279019977594</v>
      </c>
      <c r="AF72" s="245">
        <v>0.62992994085657972</v>
      </c>
      <c r="AG72" s="245">
        <v>0.49922849409345443</v>
      </c>
      <c r="AH72" s="245">
        <v>-0.14920649018707788</v>
      </c>
      <c r="AI72" s="245">
        <v>-7.3660727491853609E-2</v>
      </c>
      <c r="AJ72" s="246">
        <v>0.28510373809958067</v>
      </c>
    </row>
    <row r="73" spans="1:47" ht="15.75">
      <c r="A73" s="156" t="s">
        <v>10</v>
      </c>
      <c r="B73" s="247">
        <v>0.52283814946099161</v>
      </c>
      <c r="C73" s="156">
        <v>1</v>
      </c>
      <c r="D73" s="156">
        <v>0.4406996064715385</v>
      </c>
      <c r="E73" s="156">
        <v>-0.48371848199553452</v>
      </c>
      <c r="F73" s="156">
        <v>0.72173179328988857</v>
      </c>
      <c r="G73" s="156">
        <v>0.64786344067844814</v>
      </c>
      <c r="H73" s="156">
        <v>-0.14322714580913451</v>
      </c>
      <c r="I73" s="156">
        <v>0.11153627965093639</v>
      </c>
      <c r="J73" s="156">
        <v>0.57412305589167212</v>
      </c>
      <c r="K73" s="156">
        <v>0.20849966562210859</v>
      </c>
      <c r="L73" s="156">
        <v>0.67505805004954234</v>
      </c>
      <c r="M73" s="156">
        <v>0.68925425640787841</v>
      </c>
      <c r="N73" s="156">
        <v>0.45402908331765435</v>
      </c>
      <c r="O73" s="156">
        <v>0.44713980937555942</v>
      </c>
      <c r="P73" s="156">
        <v>0.7106912923082328</v>
      </c>
      <c r="Q73" s="156">
        <v>0.18871969967539132</v>
      </c>
      <c r="R73" s="156">
        <v>0.84674508961867367</v>
      </c>
      <c r="S73" s="156">
        <v>0.51008394011069647</v>
      </c>
      <c r="T73" s="156">
        <v>0.42878005754114018</v>
      </c>
      <c r="U73" s="156">
        <v>0.41698357889337473</v>
      </c>
      <c r="V73" s="156">
        <v>0.58214431829138857</v>
      </c>
      <c r="W73" s="156">
        <v>0.49450295458118593</v>
      </c>
      <c r="X73" s="156">
        <v>0.52818140412412984</v>
      </c>
      <c r="Y73" s="156">
        <v>0.27498596122120977</v>
      </c>
      <c r="Z73" s="156">
        <v>0.59157590456943554</v>
      </c>
      <c r="AA73" s="156">
        <v>-0.54437957330556597</v>
      </c>
      <c r="AB73" s="156">
        <v>-2.4537196811955264E-2</v>
      </c>
      <c r="AC73" s="156">
        <v>-0.52794040240018092</v>
      </c>
      <c r="AD73" s="119">
        <v>-0.21921213556884922</v>
      </c>
      <c r="AE73" s="119">
        <v>0.36183945262021289</v>
      </c>
      <c r="AF73" s="119">
        <v>7.0017534359785277E-2</v>
      </c>
      <c r="AG73" s="119">
        <v>-1.0323876251373522E-2</v>
      </c>
      <c r="AH73" s="119">
        <v>0.32880214768792082</v>
      </c>
      <c r="AI73" s="119">
        <v>0.23745203457159494</v>
      </c>
      <c r="AJ73" s="248">
        <v>0.44269793531047541</v>
      </c>
    </row>
    <row r="74" spans="1:47" ht="15.75">
      <c r="A74" s="156" t="s">
        <v>26</v>
      </c>
      <c r="B74" s="247">
        <v>0.6600434912806572</v>
      </c>
      <c r="C74" s="156">
        <v>0.4406996064715385</v>
      </c>
      <c r="D74" s="156">
        <v>1</v>
      </c>
      <c r="E74" s="156">
        <v>1.7058425118940171E-4</v>
      </c>
      <c r="F74" s="156">
        <v>0.12837742648434716</v>
      </c>
      <c r="G74" s="156">
        <v>0.13872191966826969</v>
      </c>
      <c r="H74" s="156">
        <v>-0.21611330102894219</v>
      </c>
      <c r="I74" s="156">
        <v>-0.18096069794583741</v>
      </c>
      <c r="J74" s="156">
        <v>0.39302954938533041</v>
      </c>
      <c r="K74" s="156">
        <v>-3.0145176951369635E-2</v>
      </c>
      <c r="L74" s="156">
        <v>-4.5824974314676657E-2</v>
      </c>
      <c r="M74" s="156">
        <v>0.26343992839787322</v>
      </c>
      <c r="N74" s="156">
        <v>0.15925725111557423</v>
      </c>
      <c r="O74" s="156">
        <v>0.36148977891014811</v>
      </c>
      <c r="P74" s="156">
        <v>0.34413567769426778</v>
      </c>
      <c r="Q74" s="156">
        <v>0.58533722029785606</v>
      </c>
      <c r="R74" s="156">
        <v>0.31709160319725493</v>
      </c>
      <c r="S74" s="156">
        <v>0.10746002619352268</v>
      </c>
      <c r="T74" s="156">
        <v>0.3750541010709193</v>
      </c>
      <c r="U74" s="156">
        <v>0.12142250196602533</v>
      </c>
      <c r="V74" s="156">
        <v>0.10581762835375182</v>
      </c>
      <c r="W74" s="156">
        <v>9.263246215056975E-2</v>
      </c>
      <c r="X74" s="156">
        <v>0.54618056086769806</v>
      </c>
      <c r="Y74" s="156">
        <v>0.34002143560956199</v>
      </c>
      <c r="Z74" s="156">
        <v>0.491482253255832</v>
      </c>
      <c r="AA74" s="156">
        <v>-0.21005076400686698</v>
      </c>
      <c r="AB74" s="156">
        <v>-0.15494487298965698</v>
      </c>
      <c r="AC74" s="156">
        <v>-0.35436902270834131</v>
      </c>
      <c r="AD74" s="119">
        <v>-0.17946569591795464</v>
      </c>
      <c r="AE74" s="119">
        <v>0.76387981702344532</v>
      </c>
      <c r="AF74" s="119">
        <v>0.46567673156455414</v>
      </c>
      <c r="AG74" s="119">
        <v>0.3295500449876656</v>
      </c>
      <c r="AH74" s="119">
        <v>0.1834406707239658</v>
      </c>
      <c r="AI74" s="119">
        <v>-0.11290366577963754</v>
      </c>
      <c r="AJ74" s="248">
        <v>0.34705762885803149</v>
      </c>
    </row>
    <row r="75" spans="1:47" ht="15.75">
      <c r="A75" s="156" t="s">
        <v>29</v>
      </c>
      <c r="B75" s="247">
        <v>-0.12580369398327165</v>
      </c>
      <c r="C75" s="156">
        <v>-0.48371848199553452</v>
      </c>
      <c r="D75" s="156">
        <v>1.7058425118940171E-4</v>
      </c>
      <c r="E75" s="156">
        <v>1</v>
      </c>
      <c r="F75" s="156">
        <v>-0.35521800259438191</v>
      </c>
      <c r="G75" s="156">
        <v>-0.22269600891112315</v>
      </c>
      <c r="H75" s="156">
        <v>7.7686421239265571E-2</v>
      </c>
      <c r="I75" s="156">
        <v>-0.13676357414654769</v>
      </c>
      <c r="J75" s="156">
        <v>-0.11702384298565416</v>
      </c>
      <c r="K75" s="156">
        <v>-4.8400360541910756E-2</v>
      </c>
      <c r="L75" s="156">
        <v>-0.43068920502646518</v>
      </c>
      <c r="M75" s="156">
        <v>-0.31900240926865736</v>
      </c>
      <c r="N75" s="156">
        <v>5.5396079616797801E-2</v>
      </c>
      <c r="O75" s="156">
        <v>-9.7211947876335095E-2</v>
      </c>
      <c r="P75" s="156">
        <v>-0.29049771653157735</v>
      </c>
      <c r="Q75" s="156">
        <v>0.10299435163179624</v>
      </c>
      <c r="R75" s="156">
        <v>-0.41763099113815361</v>
      </c>
      <c r="S75" s="156">
        <v>-0.2800327965810242</v>
      </c>
      <c r="T75" s="156">
        <v>-0.36012896211618789</v>
      </c>
      <c r="U75" s="156">
        <v>-0.57556371705443299</v>
      </c>
      <c r="V75" s="156">
        <v>-0.39639814169014487</v>
      </c>
      <c r="W75" s="156">
        <v>-0.33700175726417608</v>
      </c>
      <c r="X75" s="156">
        <v>-0.43558155501424445</v>
      </c>
      <c r="Y75" s="156">
        <v>-0.15146015006799543</v>
      </c>
      <c r="Z75" s="156">
        <v>-0.36395638539917524</v>
      </c>
      <c r="AA75" s="156">
        <v>-1.5162184633091212E-2</v>
      </c>
      <c r="AB75" s="156">
        <v>-0.12974439706353039</v>
      </c>
      <c r="AC75" s="156">
        <v>0.15063808129755063</v>
      </c>
      <c r="AD75" s="119">
        <v>-0.10266238789612793</v>
      </c>
      <c r="AE75" s="119">
        <v>-0.22049847017543109</v>
      </c>
      <c r="AF75" s="119">
        <v>0.17052384334612897</v>
      </c>
      <c r="AG75" s="119">
        <v>9.4094761811909233E-2</v>
      </c>
      <c r="AH75" s="119">
        <v>-0.14971016823255787</v>
      </c>
      <c r="AI75" s="119">
        <v>-5.6765846617641287E-2</v>
      </c>
      <c r="AJ75" s="248">
        <v>-0.10660214914820441</v>
      </c>
    </row>
    <row r="76" spans="1:47" ht="15.75">
      <c r="A76" s="156" t="s">
        <v>89</v>
      </c>
      <c r="B76" s="247">
        <v>0.50711813494916247</v>
      </c>
      <c r="C76" s="156">
        <v>0.72173179328988857</v>
      </c>
      <c r="D76" s="156">
        <v>0.12837742648434716</v>
      </c>
      <c r="E76" s="156">
        <v>-0.35521800259438191</v>
      </c>
      <c r="F76" s="156">
        <v>1</v>
      </c>
      <c r="G76" s="156">
        <v>0.68659453716195684</v>
      </c>
      <c r="H76" s="156">
        <v>-0.21822715272794585</v>
      </c>
      <c r="I76" s="156">
        <v>-2.1768482300366074E-2</v>
      </c>
      <c r="J76" s="156">
        <v>0.72886201174975562</v>
      </c>
      <c r="K76" s="156">
        <v>-1.5940735750024978E-3</v>
      </c>
      <c r="L76" s="156">
        <v>0.59407528292630851</v>
      </c>
      <c r="M76" s="156">
        <v>0.54836665318469602</v>
      </c>
      <c r="N76" s="156">
        <v>0.5885169591222924</v>
      </c>
      <c r="O76" s="156">
        <v>0.33579662656435821</v>
      </c>
      <c r="P76" s="156">
        <v>0.6824082158740693</v>
      </c>
      <c r="Q76" s="156">
        <v>-0.17026776228776822</v>
      </c>
      <c r="R76" s="156">
        <v>0.61724522706276086</v>
      </c>
      <c r="S76" s="156">
        <v>0.56185740589559952</v>
      </c>
      <c r="T76" s="156">
        <v>0.16429979012579596</v>
      </c>
      <c r="U76" s="156">
        <v>0.139207873336924</v>
      </c>
      <c r="V76" s="156">
        <v>0.51354489813321813</v>
      </c>
      <c r="W76" s="156">
        <v>0.28733915837776203</v>
      </c>
      <c r="X76" s="156">
        <v>0.15597240149322963</v>
      </c>
      <c r="Y76" s="156">
        <v>-0.21489612997033439</v>
      </c>
      <c r="Z76" s="156">
        <v>0.32188518783163972</v>
      </c>
      <c r="AA76" s="156">
        <v>-0.44584215898254925</v>
      </c>
      <c r="AB76" s="156">
        <v>-0.25240057554897766</v>
      </c>
      <c r="AC76" s="156">
        <v>-0.18960312968651685</v>
      </c>
      <c r="AD76" s="119">
        <v>-0.26023438517049363</v>
      </c>
      <c r="AE76" s="119">
        <v>1.5809664829235213E-2</v>
      </c>
      <c r="AF76" s="119">
        <v>-4.1360690837078634E-2</v>
      </c>
      <c r="AG76" s="119">
        <v>-6.968829126802209E-2</v>
      </c>
      <c r="AH76" s="119">
        <v>0.17558084966052467</v>
      </c>
      <c r="AI76" s="119">
        <v>6.5674745729937964E-2</v>
      </c>
      <c r="AJ76" s="248">
        <v>0.31852128506844901</v>
      </c>
    </row>
    <row r="77" spans="1:47" ht="15.75">
      <c r="A77" s="156" t="s">
        <v>90</v>
      </c>
      <c r="B77" s="247">
        <v>0.36966985082589809</v>
      </c>
      <c r="C77" s="156">
        <v>0.64786344067844814</v>
      </c>
      <c r="D77" s="156">
        <v>0.13872191966826969</v>
      </c>
      <c r="E77" s="156">
        <v>-0.22269600891112315</v>
      </c>
      <c r="F77" s="156">
        <v>0.68659453716195684</v>
      </c>
      <c r="G77" s="156">
        <v>1</v>
      </c>
      <c r="H77" s="156">
        <v>-0.42799817135958551</v>
      </c>
      <c r="I77" s="156">
        <v>-8.416913967157609E-2</v>
      </c>
      <c r="J77" s="156">
        <v>0.57960632149753433</v>
      </c>
      <c r="K77" s="156">
        <v>0.12436356644698358</v>
      </c>
      <c r="L77" s="156">
        <v>0.71960242990665102</v>
      </c>
      <c r="M77" s="156">
        <v>0.45020859646664879</v>
      </c>
      <c r="N77" s="156">
        <v>0.50187461075567885</v>
      </c>
      <c r="O77" s="156">
        <v>0.29408446489065504</v>
      </c>
      <c r="P77" s="156">
        <v>0.75237217816776158</v>
      </c>
      <c r="Q77" s="156">
        <v>-4.6257819581364286E-4</v>
      </c>
      <c r="R77" s="156">
        <v>0.67462789922147715</v>
      </c>
      <c r="S77" s="156">
        <v>0.40889217629180247</v>
      </c>
      <c r="T77" s="156">
        <v>0.4366962961302126</v>
      </c>
      <c r="U77" s="156">
        <v>0.14500140204235129</v>
      </c>
      <c r="V77" s="156">
        <v>0.57053895977872593</v>
      </c>
      <c r="W77" s="156">
        <v>0.2787658396026374</v>
      </c>
      <c r="X77" s="156">
        <v>-5.1365702382946903E-2</v>
      </c>
      <c r="Y77" s="156">
        <v>7.4112814148809321E-5</v>
      </c>
      <c r="Z77" s="156">
        <v>4.8688676180802283E-3</v>
      </c>
      <c r="AA77" s="156">
        <v>-0.68812149592551586</v>
      </c>
      <c r="AB77" s="156">
        <v>-0.43444562283351706</v>
      </c>
      <c r="AC77" s="156">
        <v>-0.39397275748529931</v>
      </c>
      <c r="AD77" s="119">
        <v>-0.1699975094478729</v>
      </c>
      <c r="AE77" s="119">
        <v>0.1324844906780667</v>
      </c>
      <c r="AF77" s="119">
        <v>-9.5754952639573288E-2</v>
      </c>
      <c r="AG77" s="119">
        <v>-0.15751601152747943</v>
      </c>
      <c r="AH77" s="119">
        <v>0.38478831071309144</v>
      </c>
      <c r="AI77" s="119">
        <v>0.20484704544151086</v>
      </c>
      <c r="AJ77" s="248">
        <v>0.74026956455242043</v>
      </c>
    </row>
    <row r="78" spans="1:47" ht="15.75">
      <c r="A78" s="156" t="s">
        <v>91</v>
      </c>
      <c r="B78" s="247">
        <v>-0.53519095052421939</v>
      </c>
      <c r="C78" s="156">
        <v>-0.14322714580913451</v>
      </c>
      <c r="D78" s="156">
        <v>-0.21611330102894219</v>
      </c>
      <c r="E78" s="156">
        <v>7.7686421239265571E-2</v>
      </c>
      <c r="F78" s="156">
        <v>-0.21822715272794585</v>
      </c>
      <c r="G78" s="156">
        <v>-0.42799817135958551</v>
      </c>
      <c r="H78" s="156">
        <v>1</v>
      </c>
      <c r="I78" s="156">
        <v>0.56058983333884382</v>
      </c>
      <c r="J78" s="156">
        <v>-0.25307470756310613</v>
      </c>
      <c r="K78" s="156">
        <v>1.6778911491863818E-2</v>
      </c>
      <c r="L78" s="156">
        <v>-0.14311658337329652</v>
      </c>
      <c r="M78" s="156">
        <v>6.6583262760912074E-2</v>
      </c>
      <c r="N78" s="156">
        <v>-0.53299348721845763</v>
      </c>
      <c r="O78" s="156">
        <v>-0.41402396611746001</v>
      </c>
      <c r="P78" s="156">
        <v>-0.22685868551714641</v>
      </c>
      <c r="Q78" s="156">
        <v>-2.8075260610235759E-2</v>
      </c>
      <c r="R78" s="156">
        <v>-0.3175873331043777</v>
      </c>
      <c r="S78" s="156">
        <v>-0.42668012235284741</v>
      </c>
      <c r="T78" s="156">
        <v>-8.6845558190760105E-2</v>
      </c>
      <c r="U78" s="156">
        <v>-0.15483403213396549</v>
      </c>
      <c r="V78" s="156">
        <v>-0.2665010827827341</v>
      </c>
      <c r="W78" s="156">
        <v>-0.12280035377999185</v>
      </c>
      <c r="X78" s="156">
        <v>-0.12357592406271027</v>
      </c>
      <c r="Y78" s="156">
        <v>-9.7240504892587443E-3</v>
      </c>
      <c r="Z78" s="156">
        <v>-4.1554071841568792E-2</v>
      </c>
      <c r="AA78" s="156">
        <v>0.13573092872002318</v>
      </c>
      <c r="AB78" s="156">
        <v>0.57477323584681028</v>
      </c>
      <c r="AC78" s="156">
        <v>-0.1603381137335039</v>
      </c>
      <c r="AD78" s="119">
        <v>-8.1268777306566717E-2</v>
      </c>
      <c r="AE78" s="119">
        <v>-5.4879758137578366E-2</v>
      </c>
      <c r="AF78" s="119">
        <v>-0.26952139423336557</v>
      </c>
      <c r="AG78" s="119">
        <v>-0.23713448009269644</v>
      </c>
      <c r="AH78" s="119">
        <v>5.1222747728146056E-2</v>
      </c>
      <c r="AI78" s="119">
        <v>-0.22306306524593503</v>
      </c>
      <c r="AJ78" s="248">
        <v>-0.3369577537609813</v>
      </c>
    </row>
    <row r="79" spans="1:47" ht="15.75">
      <c r="A79" s="156" t="s">
        <v>92</v>
      </c>
      <c r="B79" s="247">
        <v>-0.38039026628549977</v>
      </c>
      <c r="C79" s="156">
        <v>0.11153627965093639</v>
      </c>
      <c r="D79" s="156">
        <v>-0.18096069794583741</v>
      </c>
      <c r="E79" s="156">
        <v>-0.13676357414654769</v>
      </c>
      <c r="F79" s="156">
        <v>-2.1768482300366074E-2</v>
      </c>
      <c r="G79" s="156">
        <v>-8.416913967157609E-2</v>
      </c>
      <c r="H79" s="156">
        <v>0.56058983333884382</v>
      </c>
      <c r="I79" s="156">
        <v>1</v>
      </c>
      <c r="J79" s="156">
        <v>-0.34354493922741591</v>
      </c>
      <c r="K79" s="156">
        <v>0.21975180451707679</v>
      </c>
      <c r="L79" s="156">
        <v>0.13019519092022863</v>
      </c>
      <c r="M79" s="156">
        <v>0.30567026905118189</v>
      </c>
      <c r="N79" s="156">
        <v>-0.37071659885936437</v>
      </c>
      <c r="O79" s="156">
        <v>-0.31267162416537692</v>
      </c>
      <c r="P79" s="156">
        <v>-4.7348596196015676E-2</v>
      </c>
      <c r="Q79" s="156">
        <v>9.1359715635795841E-2</v>
      </c>
      <c r="R79" s="156">
        <v>-0.21378042352382859</v>
      </c>
      <c r="S79" s="156">
        <v>-4.0808161255420083E-2</v>
      </c>
      <c r="T79" s="156">
        <v>-7.7318964543218894E-3</v>
      </c>
      <c r="U79" s="156">
        <v>4.2937174882947016E-2</v>
      </c>
      <c r="V79" s="156">
        <v>0.25921261358148112</v>
      </c>
      <c r="W79" s="156">
        <v>0.18263916017125875</v>
      </c>
      <c r="X79" s="156">
        <v>0.14076536242886142</v>
      </c>
      <c r="Y79" s="156">
        <v>-0.24670814088156881</v>
      </c>
      <c r="Z79" s="156">
        <v>-7.9157201825672152E-2</v>
      </c>
      <c r="AA79" s="156">
        <v>0.17076326614366519</v>
      </c>
      <c r="AB79" s="156">
        <v>0.30049735364497249</v>
      </c>
      <c r="AC79" s="156">
        <v>3.7150869206137263E-2</v>
      </c>
      <c r="AD79" s="119">
        <v>0.33505815414397994</v>
      </c>
      <c r="AE79" s="119">
        <v>-4.163260052558148E-2</v>
      </c>
      <c r="AF79" s="119">
        <v>-0.12937672816209447</v>
      </c>
      <c r="AG79" s="119">
        <v>9.5915371851833811E-2</v>
      </c>
      <c r="AH79" s="119">
        <v>0.42044972026488764</v>
      </c>
      <c r="AI79" s="119">
        <v>-0.23080738109964186</v>
      </c>
      <c r="AJ79" s="248">
        <v>7.3722281159728995E-2</v>
      </c>
    </row>
    <row r="80" spans="1:47" ht="15.75">
      <c r="A80" s="156" t="s">
        <v>31</v>
      </c>
      <c r="B80" s="247">
        <v>0.72769749116904758</v>
      </c>
      <c r="C80" s="156">
        <v>0.57412305589167212</v>
      </c>
      <c r="D80" s="156">
        <v>0.39302954938533041</v>
      </c>
      <c r="E80" s="156">
        <v>-0.11702384298565416</v>
      </c>
      <c r="F80" s="156">
        <v>0.72886201174975562</v>
      </c>
      <c r="G80" s="156">
        <v>0.57960632149753433</v>
      </c>
      <c r="H80" s="156">
        <v>-0.25307470756310613</v>
      </c>
      <c r="I80" s="156">
        <v>-0.34354493922741591</v>
      </c>
      <c r="J80" s="156">
        <v>1</v>
      </c>
      <c r="K80" s="156">
        <v>0.21574422060768692</v>
      </c>
      <c r="L80" s="156">
        <v>0.47296835606693222</v>
      </c>
      <c r="M80" s="156">
        <v>0.30139159484562511</v>
      </c>
      <c r="N80" s="156">
        <v>0.57910126479345048</v>
      </c>
      <c r="O80" s="156">
        <v>0.26728664871870994</v>
      </c>
      <c r="P80" s="156">
        <v>0.65039893279475336</v>
      </c>
      <c r="Q80" s="156">
        <v>-0.25748577977189241</v>
      </c>
      <c r="R80" s="156">
        <v>0.56429914911104728</v>
      </c>
      <c r="S80" s="156">
        <v>0.17259399345547435</v>
      </c>
      <c r="T80" s="156">
        <v>0.18589681028065239</v>
      </c>
      <c r="U80" s="156">
        <v>7.6317346128426375E-2</v>
      </c>
      <c r="V80" s="156">
        <v>0.31949553619970256</v>
      </c>
      <c r="W80" s="156">
        <v>0.21030069625680806</v>
      </c>
      <c r="X80" s="156">
        <v>0.17917899284345035</v>
      </c>
      <c r="Y80" s="156">
        <v>0.14440260548123518</v>
      </c>
      <c r="Z80" s="156">
        <v>0.55824326291904236</v>
      </c>
      <c r="AA80" s="156">
        <v>-0.5669186193395187</v>
      </c>
      <c r="AB80" s="156">
        <v>-0.14417789525576444</v>
      </c>
      <c r="AC80" s="156">
        <v>-0.20999192306939168</v>
      </c>
      <c r="AD80" s="119">
        <v>-0.44035756521059283</v>
      </c>
      <c r="AE80" s="119">
        <v>0.17792597433329629</v>
      </c>
      <c r="AF80" s="119">
        <v>0.39964031997332966</v>
      </c>
      <c r="AG80" s="119">
        <v>0.25762978399384573</v>
      </c>
      <c r="AH80" s="119">
        <v>-9.9670704134201385E-2</v>
      </c>
      <c r="AI80" s="119">
        <v>6.5568061023361475E-3</v>
      </c>
      <c r="AJ80" s="248">
        <v>0.44619938436252804</v>
      </c>
    </row>
    <row r="81" spans="1:36" ht="15.75">
      <c r="A81" s="156" t="s">
        <v>102</v>
      </c>
      <c r="B81" s="247">
        <v>0.16812435217243812</v>
      </c>
      <c r="C81" s="156">
        <v>0.20849966562210859</v>
      </c>
      <c r="D81" s="156">
        <v>-3.0145176951369635E-2</v>
      </c>
      <c r="E81" s="156">
        <v>-4.8400360541910756E-2</v>
      </c>
      <c r="F81" s="156">
        <v>-1.5940735750024978E-3</v>
      </c>
      <c r="G81" s="156">
        <v>0.12436356644698358</v>
      </c>
      <c r="H81" s="156">
        <v>1.6778911491863818E-2</v>
      </c>
      <c r="I81" s="156">
        <v>0.21975180451707679</v>
      </c>
      <c r="J81" s="156">
        <v>0.21574422060768692</v>
      </c>
      <c r="K81" s="156">
        <v>1</v>
      </c>
      <c r="L81" s="156">
        <v>0.31649942281193927</v>
      </c>
      <c r="M81" s="156">
        <v>0.16786592251106955</v>
      </c>
      <c r="N81" s="156">
        <v>0.27097319361715561</v>
      </c>
      <c r="O81" s="156">
        <v>6.7986429121355121E-2</v>
      </c>
      <c r="P81" s="156">
        <v>3.3983527803973447E-3</v>
      </c>
      <c r="Q81" s="156">
        <v>-0.37136749127391666</v>
      </c>
      <c r="R81" s="156">
        <v>0.13774208198294</v>
      </c>
      <c r="S81" s="156">
        <v>-0.2174748110706094</v>
      </c>
      <c r="T81" s="156">
        <v>-2.7132492165822732E-2</v>
      </c>
      <c r="U81" s="156">
        <v>0.17375540002765352</v>
      </c>
      <c r="V81" s="156">
        <v>0.55862455524789467</v>
      </c>
      <c r="W81" s="156">
        <v>0.51592420633919145</v>
      </c>
      <c r="X81" s="156">
        <v>0.13741163644993029</v>
      </c>
      <c r="Y81" s="156">
        <v>0.48526593051935818</v>
      </c>
      <c r="Z81" s="156">
        <v>0.43027485584430425</v>
      </c>
      <c r="AA81" s="156">
        <v>-0.20704696811406223</v>
      </c>
      <c r="AB81" s="156">
        <v>2.0383626688327654E-3</v>
      </c>
      <c r="AC81" s="156">
        <v>8.4104990287019385E-2</v>
      </c>
      <c r="AD81" s="119">
        <v>-0.25579223395569212</v>
      </c>
      <c r="AE81" s="119">
        <v>-8.0052612262607847E-2</v>
      </c>
      <c r="AF81" s="119">
        <v>0.51089873699949506</v>
      </c>
      <c r="AG81" s="119">
        <v>0.53224575216461645</v>
      </c>
      <c r="AH81" s="119">
        <v>-3.3500994284575556E-4</v>
      </c>
      <c r="AI81" s="119">
        <v>6.2418480069732205E-2</v>
      </c>
      <c r="AJ81" s="248">
        <v>0.35110836829956354</v>
      </c>
    </row>
    <row r="82" spans="1:36" ht="15.75">
      <c r="A82" s="156" t="s">
        <v>46</v>
      </c>
      <c r="B82" s="247">
        <v>0.34700371753073056</v>
      </c>
      <c r="C82" s="156">
        <v>0.67505805004954234</v>
      </c>
      <c r="D82" s="156">
        <v>-4.5824974314676657E-2</v>
      </c>
      <c r="E82" s="156">
        <v>-0.43068920502646518</v>
      </c>
      <c r="F82" s="156">
        <v>0.59407528292630851</v>
      </c>
      <c r="G82" s="156">
        <v>0.71960242990665102</v>
      </c>
      <c r="H82" s="156">
        <v>-0.14311658337329652</v>
      </c>
      <c r="I82" s="156">
        <v>0.13019519092022863</v>
      </c>
      <c r="J82" s="156">
        <v>0.47296835606693222</v>
      </c>
      <c r="K82" s="156">
        <v>0.31649942281193927</v>
      </c>
      <c r="L82" s="156">
        <v>1</v>
      </c>
      <c r="M82" s="156">
        <v>0.23114341372744382</v>
      </c>
      <c r="N82" s="156">
        <v>0.40042069273556907</v>
      </c>
      <c r="O82" s="156">
        <v>0.39146271176448727</v>
      </c>
      <c r="P82" s="156">
        <v>0.58772666981530197</v>
      </c>
      <c r="Q82" s="156">
        <v>-0.14271815153667053</v>
      </c>
      <c r="R82" s="156">
        <v>0.70708544352892588</v>
      </c>
      <c r="S82" s="156">
        <v>0.24496265641016518</v>
      </c>
      <c r="T82" s="156">
        <v>0.19925474404081706</v>
      </c>
      <c r="U82" s="156">
        <v>0.10426135469971595</v>
      </c>
      <c r="V82" s="156">
        <v>0.38261803772020497</v>
      </c>
      <c r="W82" s="156">
        <v>0.32611470852951024</v>
      </c>
      <c r="X82" s="156">
        <v>0.15407530209699641</v>
      </c>
      <c r="Y82" s="156">
        <v>0.145491240519388</v>
      </c>
      <c r="Z82" s="156">
        <v>0.25877929657548965</v>
      </c>
      <c r="AA82" s="156">
        <v>-0.38959096999245713</v>
      </c>
      <c r="AB82" s="156">
        <v>-0.14960641377307082</v>
      </c>
      <c r="AC82" s="156">
        <v>-0.25064117130127295</v>
      </c>
      <c r="AD82" s="119">
        <v>-5.1321741353649461E-2</v>
      </c>
      <c r="AE82" s="119">
        <v>7.2505523919761741E-2</v>
      </c>
      <c r="AF82" s="119">
        <v>3.5234182434721317E-2</v>
      </c>
      <c r="AG82" s="119">
        <v>7.5627084737447267E-2</v>
      </c>
      <c r="AH82" s="119">
        <v>0.28030076245786151</v>
      </c>
      <c r="AI82" s="119">
        <v>0.15425468258758748</v>
      </c>
      <c r="AJ82" s="248">
        <v>0.44055298746023813</v>
      </c>
    </row>
    <row r="83" spans="1:36" ht="15.75">
      <c r="A83" s="156" t="s">
        <v>33</v>
      </c>
      <c r="B83" s="247">
        <v>0.11906798900975775</v>
      </c>
      <c r="C83" s="156">
        <v>0.68925425640787841</v>
      </c>
      <c r="D83" s="156">
        <v>0.26343992839787322</v>
      </c>
      <c r="E83" s="156">
        <v>-0.31900240926865736</v>
      </c>
      <c r="F83" s="156">
        <v>0.54836665318469602</v>
      </c>
      <c r="G83" s="156">
        <v>0.45020859646664879</v>
      </c>
      <c r="H83" s="156">
        <v>6.6583262760912074E-2</v>
      </c>
      <c r="I83" s="156">
        <v>0.30567026905118189</v>
      </c>
      <c r="J83" s="156">
        <v>0.30139159484562511</v>
      </c>
      <c r="K83" s="156">
        <v>0.16786592251106955</v>
      </c>
      <c r="L83" s="156">
        <v>0.23114341372744382</v>
      </c>
      <c r="M83" s="156">
        <v>1</v>
      </c>
      <c r="N83" s="156">
        <v>8.6740971820848167E-2</v>
      </c>
      <c r="O83" s="156">
        <v>-9.6733368674527073E-2</v>
      </c>
      <c r="P83" s="156">
        <v>0.34603609778608296</v>
      </c>
      <c r="Q83" s="156">
        <v>0.25531618439887777</v>
      </c>
      <c r="R83" s="156">
        <v>0.48380986491199296</v>
      </c>
      <c r="S83" s="156">
        <v>0.35558881405878212</v>
      </c>
      <c r="T83" s="156">
        <v>0.5901175807668918</v>
      </c>
      <c r="U83" s="156">
        <v>0.40444696993100299</v>
      </c>
      <c r="V83" s="156">
        <v>0.64710373981133817</v>
      </c>
      <c r="W83" s="156">
        <v>0.6389794427383374</v>
      </c>
      <c r="X83" s="156">
        <v>0.22283346195170969</v>
      </c>
      <c r="Y83" s="156">
        <v>0.15652376527926867</v>
      </c>
      <c r="Z83" s="156">
        <v>0.2397416003594619</v>
      </c>
      <c r="AA83" s="156">
        <v>-0.40331805219476158</v>
      </c>
      <c r="AB83" s="156">
        <v>-0.14017114000158543</v>
      </c>
      <c r="AC83" s="156">
        <v>-0.35539238964008191</v>
      </c>
      <c r="AD83" s="119">
        <v>-0.15702359807144081</v>
      </c>
      <c r="AE83" s="119">
        <v>0.3321618655087506</v>
      </c>
      <c r="AF83" s="119">
        <v>-0.1436962320807075</v>
      </c>
      <c r="AG83" s="119">
        <v>-0.17550525173209672</v>
      </c>
      <c r="AH83" s="119">
        <v>0.51299290167249045</v>
      </c>
      <c r="AI83" s="119">
        <v>0.41646595068380748</v>
      </c>
      <c r="AJ83" s="248">
        <v>0.41600091424499203</v>
      </c>
    </row>
    <row r="84" spans="1:36" ht="15.75">
      <c r="A84" s="156" t="s">
        <v>24</v>
      </c>
      <c r="B84" s="247">
        <v>0.57754133464052193</v>
      </c>
      <c r="C84" s="156">
        <v>0.45402908331765435</v>
      </c>
      <c r="D84" s="156">
        <v>0.15925725111557423</v>
      </c>
      <c r="E84" s="156">
        <v>5.5396079616797801E-2</v>
      </c>
      <c r="F84" s="156">
        <v>0.5885169591222924</v>
      </c>
      <c r="G84" s="156">
        <v>0.50187461075567885</v>
      </c>
      <c r="H84" s="156">
        <v>-0.53299348721845763</v>
      </c>
      <c r="I84" s="156">
        <v>-0.37071659885936437</v>
      </c>
      <c r="J84" s="156">
        <v>0.57910126479345048</v>
      </c>
      <c r="K84" s="156">
        <v>0.27097319361715561</v>
      </c>
      <c r="L84" s="156">
        <v>0.40042069273556907</v>
      </c>
      <c r="M84" s="156">
        <v>8.6740971820848167E-2</v>
      </c>
      <c r="N84" s="156">
        <v>1</v>
      </c>
      <c r="O84" s="156">
        <v>0.76809806063814401</v>
      </c>
      <c r="P84" s="156">
        <v>0.56668756138112997</v>
      </c>
      <c r="Q84" s="156">
        <v>-0.31113812839519384</v>
      </c>
      <c r="R84" s="156">
        <v>0.42335906348376556</v>
      </c>
      <c r="S84" s="156">
        <v>0.46612770697515493</v>
      </c>
      <c r="T84" s="156">
        <v>-0.21927769527685015</v>
      </c>
      <c r="U84" s="156">
        <v>-1.4982586014379327E-2</v>
      </c>
      <c r="V84" s="156">
        <v>0.3921805304593457</v>
      </c>
      <c r="W84" s="156">
        <v>-4.8606919639565928E-3</v>
      </c>
      <c r="X84" s="156">
        <v>0.18899343387722886</v>
      </c>
      <c r="Y84" s="156">
        <v>0.17525823087997836</v>
      </c>
      <c r="Z84" s="156">
        <v>0.36568131164069173</v>
      </c>
      <c r="AA84" s="156">
        <v>-0.5223133974084172</v>
      </c>
      <c r="AB84" s="156">
        <v>-0.33926245642440594</v>
      </c>
      <c r="AC84" s="156">
        <v>-0.14213982450117271</v>
      </c>
      <c r="AD84" s="119">
        <v>-0.50498261392566257</v>
      </c>
      <c r="AE84" s="119">
        <v>-0.23823681111023493</v>
      </c>
      <c r="AF84" s="119">
        <v>0.32467659285097583</v>
      </c>
      <c r="AG84" s="119">
        <v>0.15934159955681748</v>
      </c>
      <c r="AH84" s="119">
        <v>-0.16373394094346963</v>
      </c>
      <c r="AI84" s="119">
        <v>5.569665505204633E-2</v>
      </c>
      <c r="AJ84" s="248">
        <v>0.1409774474210716</v>
      </c>
    </row>
    <row r="85" spans="1:36" ht="15.75">
      <c r="A85" s="156" t="s">
        <v>95</v>
      </c>
      <c r="B85" s="247">
        <v>0.54279980858112464</v>
      </c>
      <c r="C85" s="156">
        <v>0.44713980937555942</v>
      </c>
      <c r="D85" s="156">
        <v>0.36148977891014811</v>
      </c>
      <c r="E85" s="156">
        <v>-9.7211947876335095E-2</v>
      </c>
      <c r="F85" s="156">
        <v>0.33579662656435821</v>
      </c>
      <c r="G85" s="156">
        <v>0.29408446489065504</v>
      </c>
      <c r="H85" s="156">
        <v>-0.41402396611746001</v>
      </c>
      <c r="I85" s="156">
        <v>-0.31267162416537692</v>
      </c>
      <c r="J85" s="156">
        <v>0.26728664871870994</v>
      </c>
      <c r="K85" s="156">
        <v>6.7986429121355121E-2</v>
      </c>
      <c r="L85" s="156">
        <v>0.39146271176448727</v>
      </c>
      <c r="M85" s="156">
        <v>-9.6733368674527073E-2</v>
      </c>
      <c r="N85" s="156">
        <v>0.76809806063814401</v>
      </c>
      <c r="O85" s="156">
        <v>1</v>
      </c>
      <c r="P85" s="156">
        <v>0.48016389381561075</v>
      </c>
      <c r="Q85" s="156">
        <v>5.9451755559301919E-2</v>
      </c>
      <c r="R85" s="156">
        <v>0.46287735085787046</v>
      </c>
      <c r="S85" s="156">
        <v>0.50346436972118735</v>
      </c>
      <c r="T85" s="156">
        <v>-0.15563793819982161</v>
      </c>
      <c r="U85" s="156">
        <v>2.2378183513689212E-2</v>
      </c>
      <c r="V85" s="156">
        <v>0.17585903075257842</v>
      </c>
      <c r="W85" s="156">
        <v>-0.1509870524469609</v>
      </c>
      <c r="X85" s="156">
        <v>0.35662482296506215</v>
      </c>
      <c r="Y85" s="156">
        <v>0.32332605683117727</v>
      </c>
      <c r="Z85" s="156">
        <v>0.35638587327582089</v>
      </c>
      <c r="AA85" s="156">
        <v>-0.3301724090614046</v>
      </c>
      <c r="AB85" s="156">
        <v>-0.22252570521210169</v>
      </c>
      <c r="AC85" s="156">
        <v>-0.34353891129437064</v>
      </c>
      <c r="AD85" s="119">
        <v>-0.36882101430813047</v>
      </c>
      <c r="AE85" s="119">
        <v>2.3423168913054643E-2</v>
      </c>
      <c r="AF85" s="119">
        <v>0.28797505501327975</v>
      </c>
      <c r="AG85" s="119">
        <v>0.1047001425680826</v>
      </c>
      <c r="AH85" s="119">
        <v>-5.5506970116820833E-2</v>
      </c>
      <c r="AI85" s="119">
        <v>-1.9893081875629826E-2</v>
      </c>
      <c r="AJ85" s="248">
        <v>-2.6067664499655682E-2</v>
      </c>
    </row>
    <row r="86" spans="1:36" ht="15.75">
      <c r="A86" s="156" t="s">
        <v>39</v>
      </c>
      <c r="B86" s="247">
        <v>0.46597993945674088</v>
      </c>
      <c r="C86" s="156">
        <v>0.7106912923082328</v>
      </c>
      <c r="D86" s="156">
        <v>0.34413567769426778</v>
      </c>
      <c r="E86" s="156">
        <v>-0.29049771653157735</v>
      </c>
      <c r="F86" s="156">
        <v>0.6824082158740693</v>
      </c>
      <c r="G86" s="156">
        <v>0.75237217816776158</v>
      </c>
      <c r="H86" s="156">
        <v>-0.22685868551714641</v>
      </c>
      <c r="I86" s="156">
        <v>-4.7348596196015676E-2</v>
      </c>
      <c r="J86" s="156">
        <v>0.65039893279475336</v>
      </c>
      <c r="K86" s="156">
        <v>3.3983527803973447E-3</v>
      </c>
      <c r="L86" s="156">
        <v>0.58772666981530197</v>
      </c>
      <c r="M86" s="156">
        <v>0.34603609778608296</v>
      </c>
      <c r="N86" s="156">
        <v>0.56668756138112997</v>
      </c>
      <c r="O86" s="156">
        <v>0.48016389381561075</v>
      </c>
      <c r="P86" s="156">
        <v>1</v>
      </c>
      <c r="Q86" s="156">
        <v>-2.5584441794835266E-2</v>
      </c>
      <c r="R86" s="156">
        <v>0.52963173778236095</v>
      </c>
      <c r="S86" s="156">
        <v>0.42119754950882177</v>
      </c>
      <c r="T86" s="156">
        <v>0.26324717241331774</v>
      </c>
      <c r="U86" s="156">
        <v>0.33744495942143349</v>
      </c>
      <c r="V86" s="156">
        <v>0.45809094554055857</v>
      </c>
      <c r="W86" s="156">
        <v>-4.5913759248925455E-2</v>
      </c>
      <c r="X86" s="156">
        <v>0.16208030976384524</v>
      </c>
      <c r="Y86" s="156">
        <v>7.3206546285851423E-2</v>
      </c>
      <c r="Z86" s="156">
        <v>0.30562025272827797</v>
      </c>
      <c r="AA86" s="156">
        <v>-0.79170667276193063</v>
      </c>
      <c r="AB86" s="156">
        <v>-0.11759677809448217</v>
      </c>
      <c r="AC86" s="156">
        <v>-0.55402308367768527</v>
      </c>
      <c r="AD86" s="119">
        <v>-0.43319001613108099</v>
      </c>
      <c r="AE86" s="119">
        <v>0.23193916464898978</v>
      </c>
      <c r="AF86" s="119">
        <v>1.1885104259417904E-4</v>
      </c>
      <c r="AG86" s="119">
        <v>-0.15887371209265769</v>
      </c>
      <c r="AH86" s="119">
        <v>1.4297394003784493E-2</v>
      </c>
      <c r="AI86" s="119">
        <v>-0.13094826032374071</v>
      </c>
      <c r="AJ86" s="248">
        <v>0.39241953751941017</v>
      </c>
    </row>
    <row r="87" spans="1:36" ht="15.75">
      <c r="A87" s="156" t="s">
        <v>35</v>
      </c>
      <c r="B87" s="247">
        <v>6.0668160573997638E-3</v>
      </c>
      <c r="C87" s="156">
        <v>0.18871969967539132</v>
      </c>
      <c r="D87" s="156">
        <v>0.58533722029785606</v>
      </c>
      <c r="E87" s="156">
        <v>0.10299435163179624</v>
      </c>
      <c r="F87" s="156">
        <v>-0.17026776228776822</v>
      </c>
      <c r="G87" s="156">
        <v>-4.6257819581364286E-4</v>
      </c>
      <c r="H87" s="156">
        <v>-2.8075260610235759E-2</v>
      </c>
      <c r="I87" s="156">
        <v>9.1359715635795841E-2</v>
      </c>
      <c r="J87" s="156">
        <v>-0.25748577977189241</v>
      </c>
      <c r="K87" s="156">
        <v>-0.37136749127391666</v>
      </c>
      <c r="L87" s="156">
        <v>-0.14271815153667053</v>
      </c>
      <c r="M87" s="156">
        <v>0.25531618439887777</v>
      </c>
      <c r="N87" s="156">
        <v>-0.31113812839519384</v>
      </c>
      <c r="O87" s="156">
        <v>5.9451755559301919E-2</v>
      </c>
      <c r="P87" s="156">
        <v>-2.5584441794835266E-2</v>
      </c>
      <c r="Q87" s="156">
        <v>1</v>
      </c>
      <c r="R87" s="156">
        <v>0.14198233445811909</v>
      </c>
      <c r="S87" s="156">
        <v>3.4640891748106521E-2</v>
      </c>
      <c r="T87" s="156">
        <v>0.37039499921366154</v>
      </c>
      <c r="U87" s="156">
        <v>7.7938750099253204E-2</v>
      </c>
      <c r="V87" s="156">
        <v>-6.6355312847616962E-2</v>
      </c>
      <c r="W87" s="156">
        <v>0.14957051469701432</v>
      </c>
      <c r="X87" s="156">
        <v>0.16783834665750222</v>
      </c>
      <c r="Y87" s="156">
        <v>5.4527446561856679E-2</v>
      </c>
      <c r="Z87" s="156">
        <v>-0.12295701388639824</v>
      </c>
      <c r="AA87" s="156">
        <v>8.2837413555037667E-2</v>
      </c>
      <c r="AB87" s="156">
        <v>-0.15034193540513954</v>
      </c>
      <c r="AC87" s="156">
        <v>-0.3196020020376405</v>
      </c>
      <c r="AD87" s="119">
        <v>0.22287867018461729</v>
      </c>
      <c r="AE87" s="119">
        <v>0.71694840823955308</v>
      </c>
      <c r="AF87" s="119">
        <v>-5.9388957034915188E-2</v>
      </c>
      <c r="AG87" s="119">
        <v>-7.8480244856920595E-2</v>
      </c>
      <c r="AH87" s="119">
        <v>0.5003551747298719</v>
      </c>
      <c r="AI87" s="119">
        <v>0.10822837941276531</v>
      </c>
      <c r="AJ87" s="248">
        <v>0.21933917577156473</v>
      </c>
    </row>
    <row r="88" spans="1:36" ht="15.75">
      <c r="A88" s="156" t="s">
        <v>96</v>
      </c>
      <c r="B88" s="247">
        <v>0.56250665005006273</v>
      </c>
      <c r="C88" s="156">
        <v>0.84674508961867367</v>
      </c>
      <c r="D88" s="156">
        <v>0.31709160319725493</v>
      </c>
      <c r="E88" s="156">
        <v>-0.41763099113815361</v>
      </c>
      <c r="F88" s="156">
        <v>0.61724522706276086</v>
      </c>
      <c r="G88" s="156">
        <v>0.67462789922147715</v>
      </c>
      <c r="H88" s="156">
        <v>-0.3175873331043777</v>
      </c>
      <c r="I88" s="156">
        <v>-0.21378042352382859</v>
      </c>
      <c r="J88" s="156">
        <v>0.56429914911104728</v>
      </c>
      <c r="K88" s="156">
        <v>0.13774208198294</v>
      </c>
      <c r="L88" s="156">
        <v>0.70708544352892588</v>
      </c>
      <c r="M88" s="156">
        <v>0.48380986491199296</v>
      </c>
      <c r="N88" s="156">
        <v>0.42335906348376556</v>
      </c>
      <c r="O88" s="156">
        <v>0.46287735085787046</v>
      </c>
      <c r="P88" s="156">
        <v>0.52963173778236095</v>
      </c>
      <c r="Q88" s="156">
        <v>0.14198233445811909</v>
      </c>
      <c r="R88" s="156">
        <v>1</v>
      </c>
      <c r="S88" s="156">
        <v>0.54962728287219231</v>
      </c>
      <c r="T88" s="156">
        <v>0.4246174014982913</v>
      </c>
      <c r="U88" s="156">
        <v>0.29020358474505775</v>
      </c>
      <c r="V88" s="156">
        <v>0.41192850741919879</v>
      </c>
      <c r="W88" s="156">
        <v>0.48040860351633891</v>
      </c>
      <c r="X88" s="156">
        <v>0.3090184082050047</v>
      </c>
      <c r="Y88" s="156">
        <v>0.34688407682885619</v>
      </c>
      <c r="Z88" s="156">
        <v>0.41746859455849483</v>
      </c>
      <c r="AA88" s="156">
        <v>-0.50962533131844701</v>
      </c>
      <c r="AB88" s="156">
        <v>-0.14007021910017969</v>
      </c>
      <c r="AC88" s="156">
        <v>-0.46310607341826876</v>
      </c>
      <c r="AD88" s="119">
        <v>-8.6909893568408308E-2</v>
      </c>
      <c r="AE88" s="119">
        <v>0.23869174461926862</v>
      </c>
      <c r="AF88" s="119">
        <v>0.10342482185252241</v>
      </c>
      <c r="AG88" s="119">
        <v>-5.3446558954272368E-2</v>
      </c>
      <c r="AH88" s="119">
        <v>0.25160238265075591</v>
      </c>
      <c r="AI88" s="119">
        <v>0.45514922889027964</v>
      </c>
      <c r="AJ88" s="248">
        <v>0.44928884253881807</v>
      </c>
    </row>
    <row r="89" spans="1:36" ht="15.75">
      <c r="A89" s="156" t="s">
        <v>48</v>
      </c>
      <c r="B89" s="247">
        <v>0.36310738614229715</v>
      </c>
      <c r="C89" s="156">
        <v>0.51008394011069647</v>
      </c>
      <c r="D89" s="156">
        <v>0.10746002619352268</v>
      </c>
      <c r="E89" s="156">
        <v>-0.2800327965810242</v>
      </c>
      <c r="F89" s="156">
        <v>0.56185740589559952</v>
      </c>
      <c r="G89" s="156">
        <v>0.40889217629180247</v>
      </c>
      <c r="H89" s="156">
        <v>-0.42668012235284741</v>
      </c>
      <c r="I89" s="156">
        <v>-4.0808161255420083E-2</v>
      </c>
      <c r="J89" s="156">
        <v>0.17259399345547435</v>
      </c>
      <c r="K89" s="156">
        <v>-0.2174748110706094</v>
      </c>
      <c r="L89" s="156">
        <v>0.24496265641016518</v>
      </c>
      <c r="M89" s="156">
        <v>0.35558881405878212</v>
      </c>
      <c r="N89" s="156">
        <v>0.46612770697515493</v>
      </c>
      <c r="O89" s="156">
        <v>0.50346436972118735</v>
      </c>
      <c r="P89" s="156">
        <v>0.42119754950882177</v>
      </c>
      <c r="Q89" s="156">
        <v>3.4640891748106521E-2</v>
      </c>
      <c r="R89" s="156">
        <v>0.54962728287219231</v>
      </c>
      <c r="S89" s="156">
        <v>1</v>
      </c>
      <c r="T89" s="156">
        <v>0.14051787918279368</v>
      </c>
      <c r="U89" s="156">
        <v>0.30020518493621801</v>
      </c>
      <c r="V89" s="156">
        <v>0.39052957349293044</v>
      </c>
      <c r="W89" s="156">
        <v>9.7245125090129184E-2</v>
      </c>
      <c r="X89" s="156">
        <v>0.20922297748018309</v>
      </c>
      <c r="Y89" s="156">
        <v>-0.14072399768011898</v>
      </c>
      <c r="Z89" s="156">
        <v>9.5346036619349706E-2</v>
      </c>
      <c r="AA89" s="156">
        <v>-0.33622404938352785</v>
      </c>
      <c r="AB89" s="156">
        <v>-0.13843648882733733</v>
      </c>
      <c r="AC89" s="156">
        <v>-0.26140583695157227</v>
      </c>
      <c r="AD89" s="119">
        <v>4.4151312776574074E-2</v>
      </c>
      <c r="AE89" s="119">
        <v>-0.18762887440819745</v>
      </c>
      <c r="AF89" s="119">
        <v>-8.2148344349521424E-2</v>
      </c>
      <c r="AG89" s="119">
        <v>-0.19689272094203508</v>
      </c>
      <c r="AH89" s="119">
        <v>9.6789230386777017E-2</v>
      </c>
      <c r="AI89" s="119">
        <v>0.29409059491882483</v>
      </c>
      <c r="AJ89" s="248">
        <v>4.2099175198005059E-2</v>
      </c>
    </row>
    <row r="90" spans="1:36" ht="15.75">
      <c r="A90" s="156" t="s">
        <v>97</v>
      </c>
      <c r="B90" s="247">
        <v>7.1977946684596422E-2</v>
      </c>
      <c r="C90" s="156">
        <v>0.42878005754114018</v>
      </c>
      <c r="D90" s="156">
        <v>0.3750541010709193</v>
      </c>
      <c r="E90" s="156">
        <v>-0.36012896211618789</v>
      </c>
      <c r="F90" s="156">
        <v>0.16429979012579596</v>
      </c>
      <c r="G90" s="156">
        <v>0.4366962961302126</v>
      </c>
      <c r="H90" s="156">
        <v>-8.6845558190760105E-2</v>
      </c>
      <c r="I90" s="156">
        <v>-7.7318964543218894E-3</v>
      </c>
      <c r="J90" s="156">
        <v>0.18589681028065239</v>
      </c>
      <c r="K90" s="156">
        <v>-2.7132492165822732E-2</v>
      </c>
      <c r="L90" s="156">
        <v>0.19925474404081706</v>
      </c>
      <c r="M90" s="156">
        <v>0.5901175807668918</v>
      </c>
      <c r="N90" s="156">
        <v>-0.21927769527685015</v>
      </c>
      <c r="O90" s="156">
        <v>-0.15563793819982161</v>
      </c>
      <c r="P90" s="156">
        <v>0.26324717241331774</v>
      </c>
      <c r="Q90" s="156">
        <v>0.37039499921366154</v>
      </c>
      <c r="R90" s="156">
        <v>0.4246174014982913</v>
      </c>
      <c r="S90" s="156">
        <v>0.14051787918279368</v>
      </c>
      <c r="T90" s="156">
        <v>1</v>
      </c>
      <c r="U90" s="156">
        <v>0.46766346270375642</v>
      </c>
      <c r="V90" s="156">
        <v>0.28719782105542713</v>
      </c>
      <c r="W90" s="156">
        <v>0.49932089103856547</v>
      </c>
      <c r="X90" s="156">
        <v>0.15686600407744164</v>
      </c>
      <c r="Y90" s="156">
        <v>0.24659007860098092</v>
      </c>
      <c r="Z90" s="156">
        <v>0.14684669071396267</v>
      </c>
      <c r="AA90" s="156">
        <v>-0.29723022150430611</v>
      </c>
      <c r="AB90" s="156">
        <v>-5.2100208712057637E-2</v>
      </c>
      <c r="AC90" s="156">
        <v>-0.55979467797589932</v>
      </c>
      <c r="AD90" s="119">
        <v>-0.12728598126769533</v>
      </c>
      <c r="AE90" s="119">
        <v>0.60547462512921579</v>
      </c>
      <c r="AF90" s="119">
        <v>-0.26108959116818214</v>
      </c>
      <c r="AG90" s="119">
        <v>-0.20658039048538063</v>
      </c>
      <c r="AH90" s="119">
        <v>0.5756483391515741</v>
      </c>
      <c r="AI90" s="119">
        <v>0.537013019705598</v>
      </c>
      <c r="AJ90" s="248">
        <v>0.55622335642928922</v>
      </c>
    </row>
    <row r="91" spans="1:36" ht="15.75">
      <c r="A91" s="156" t="s">
        <v>51</v>
      </c>
      <c r="B91" s="247">
        <v>2.1639746857108962E-2</v>
      </c>
      <c r="C91" s="156">
        <v>0.41698357889337473</v>
      </c>
      <c r="D91" s="156">
        <v>0.12142250196602533</v>
      </c>
      <c r="E91" s="156">
        <v>-0.57556371705443299</v>
      </c>
      <c r="F91" s="156">
        <v>0.139207873336924</v>
      </c>
      <c r="G91" s="156">
        <v>0.14500140204235129</v>
      </c>
      <c r="H91" s="156">
        <v>-0.15483403213396549</v>
      </c>
      <c r="I91" s="156">
        <v>4.2937174882947016E-2</v>
      </c>
      <c r="J91" s="156">
        <v>7.6317346128426375E-2</v>
      </c>
      <c r="K91" s="156">
        <v>0.17375540002765352</v>
      </c>
      <c r="L91" s="156">
        <v>0.10426135469971595</v>
      </c>
      <c r="M91" s="156">
        <v>0.40444696993100299</v>
      </c>
      <c r="N91" s="156">
        <v>-1.4982586014379327E-2</v>
      </c>
      <c r="O91" s="156">
        <v>2.2378183513689212E-2</v>
      </c>
      <c r="P91" s="156">
        <v>0.33744495942143349</v>
      </c>
      <c r="Q91" s="156">
        <v>7.7938750099253204E-2</v>
      </c>
      <c r="R91" s="156">
        <v>0.29020358474505775</v>
      </c>
      <c r="S91" s="156">
        <v>0.30020518493621801</v>
      </c>
      <c r="T91" s="156">
        <v>0.46766346270375642</v>
      </c>
      <c r="U91" s="156">
        <v>1</v>
      </c>
      <c r="V91" s="156">
        <v>0.57327468072359355</v>
      </c>
      <c r="W91" s="156">
        <v>0.47531401929404332</v>
      </c>
      <c r="X91" s="156">
        <v>0.18227439270311852</v>
      </c>
      <c r="Y91" s="156">
        <v>0.23072550270802583</v>
      </c>
      <c r="Z91" s="156">
        <v>0.40080535294186798</v>
      </c>
      <c r="AA91" s="156">
        <v>-0.3479418992637085</v>
      </c>
      <c r="AB91" s="156">
        <v>0.28522296544082226</v>
      </c>
      <c r="AC91" s="156">
        <v>-0.39793216115301133</v>
      </c>
      <c r="AD91" s="119">
        <v>-0.24839529068298488</v>
      </c>
      <c r="AE91" s="119">
        <v>0.30328700586252316</v>
      </c>
      <c r="AF91" s="119">
        <v>-8.0452451119321353E-2</v>
      </c>
      <c r="AG91" s="119">
        <v>-0.11369121160121591</v>
      </c>
      <c r="AH91" s="119">
        <v>-7.0626230792322192E-2</v>
      </c>
      <c r="AI91" s="119">
        <v>0.26515115024063418</v>
      </c>
      <c r="AJ91" s="248">
        <v>0.17234045320227592</v>
      </c>
    </row>
    <row r="92" spans="1:36" ht="15.75">
      <c r="A92" s="156" t="s">
        <v>53</v>
      </c>
      <c r="B92" s="247">
        <v>0.21231124754555072</v>
      </c>
      <c r="C92" s="156">
        <v>0.58214431829138857</v>
      </c>
      <c r="D92" s="156">
        <v>0.10581762835375182</v>
      </c>
      <c r="E92" s="156">
        <v>-0.39639814169014487</v>
      </c>
      <c r="F92" s="156">
        <v>0.51354489813321813</v>
      </c>
      <c r="G92" s="156">
        <v>0.57053895977872593</v>
      </c>
      <c r="H92" s="156">
        <v>-0.2665010827827341</v>
      </c>
      <c r="I92" s="156">
        <v>0.25921261358148112</v>
      </c>
      <c r="J92" s="156">
        <v>0.31949553619970256</v>
      </c>
      <c r="K92" s="156">
        <v>0.55862455524789467</v>
      </c>
      <c r="L92" s="156">
        <v>0.38261803772020497</v>
      </c>
      <c r="M92" s="156">
        <v>0.64710373981133817</v>
      </c>
      <c r="N92" s="156">
        <v>0.3921805304593457</v>
      </c>
      <c r="O92" s="156">
        <v>0.17585903075257842</v>
      </c>
      <c r="P92" s="156">
        <v>0.45809094554055857</v>
      </c>
      <c r="Q92" s="156">
        <v>-6.6355312847616962E-2</v>
      </c>
      <c r="R92" s="156">
        <v>0.41192850741919879</v>
      </c>
      <c r="S92" s="156">
        <v>0.39052957349293044</v>
      </c>
      <c r="T92" s="156">
        <v>0.28719782105542713</v>
      </c>
      <c r="U92" s="156">
        <v>0.57327468072359355</v>
      </c>
      <c r="V92" s="156">
        <v>1</v>
      </c>
      <c r="W92" s="156">
        <v>0.62844928941146527</v>
      </c>
      <c r="X92" s="156">
        <v>0.11137685223801601</v>
      </c>
      <c r="Y92" s="156">
        <v>0.1337673967995778</v>
      </c>
      <c r="Z92" s="156">
        <v>0.26750584091326612</v>
      </c>
      <c r="AA92" s="156">
        <v>-0.49948526396636239</v>
      </c>
      <c r="AB92" s="156">
        <v>-0.20186112027183128</v>
      </c>
      <c r="AC92" s="156">
        <v>-0.21480413769083112</v>
      </c>
      <c r="AD92" s="119">
        <v>-0.238343789600934</v>
      </c>
      <c r="AE92" s="119">
        <v>8.4198267271001284E-2</v>
      </c>
      <c r="AF92" s="119">
        <v>0.15016412341872359</v>
      </c>
      <c r="AG92" s="119">
        <v>0.12100873458759477</v>
      </c>
      <c r="AH92" s="119">
        <v>0.27775487561199208</v>
      </c>
      <c r="AI92" s="119">
        <v>0.11785481536224011</v>
      </c>
      <c r="AJ92" s="248">
        <v>0.59442481931503111</v>
      </c>
    </row>
    <row r="93" spans="1:36" ht="15.75">
      <c r="A93" s="156" t="s">
        <v>98</v>
      </c>
      <c r="B93" s="247">
        <v>0.11684007430074193</v>
      </c>
      <c r="C93" s="156">
        <v>0.49450295458118593</v>
      </c>
      <c r="D93" s="156">
        <v>9.263246215056975E-2</v>
      </c>
      <c r="E93" s="156">
        <v>-0.33700175726417608</v>
      </c>
      <c r="F93" s="156">
        <v>0.28733915837776203</v>
      </c>
      <c r="G93" s="156">
        <v>0.2787658396026374</v>
      </c>
      <c r="H93" s="156">
        <v>-0.12280035377999185</v>
      </c>
      <c r="I93" s="156">
        <v>0.18263916017125875</v>
      </c>
      <c r="J93" s="156">
        <v>0.21030069625680806</v>
      </c>
      <c r="K93" s="156">
        <v>0.51592420633919145</v>
      </c>
      <c r="L93" s="156">
        <v>0.32611470852951024</v>
      </c>
      <c r="M93" s="156">
        <v>0.6389794427383374</v>
      </c>
      <c r="N93" s="156">
        <v>-4.8606919639565928E-3</v>
      </c>
      <c r="O93" s="156">
        <v>-0.1509870524469609</v>
      </c>
      <c r="P93" s="156">
        <v>-4.5913759248925455E-2</v>
      </c>
      <c r="Q93" s="156">
        <v>0.14957051469701432</v>
      </c>
      <c r="R93" s="156">
        <v>0.48040860351633891</v>
      </c>
      <c r="S93" s="156">
        <v>9.7245125090129184E-2</v>
      </c>
      <c r="T93" s="156">
        <v>0.49932089103856547</v>
      </c>
      <c r="U93" s="156">
        <v>0.47531401929404332</v>
      </c>
      <c r="V93" s="156">
        <v>0.62844928941146527</v>
      </c>
      <c r="W93" s="156">
        <v>1</v>
      </c>
      <c r="X93" s="156">
        <v>0.22527214835627457</v>
      </c>
      <c r="Y93" s="156">
        <v>0.20078717161576989</v>
      </c>
      <c r="Z93" s="156">
        <v>0.39368031412365934</v>
      </c>
      <c r="AA93" s="156">
        <v>-5.1947882408236168E-2</v>
      </c>
      <c r="AB93" s="156">
        <v>-1.6109945350357962E-2</v>
      </c>
      <c r="AC93" s="156">
        <v>-8.4599781027534446E-2</v>
      </c>
      <c r="AD93" s="119">
        <v>6.4776355678261991E-3</v>
      </c>
      <c r="AE93" s="119">
        <v>0.28656178453402364</v>
      </c>
      <c r="AF93" s="119">
        <v>0.12469189307243667</v>
      </c>
      <c r="AG93" s="119">
        <v>0.26595651193312392</v>
      </c>
      <c r="AH93" s="119">
        <v>0.47229360630197131</v>
      </c>
      <c r="AI93" s="119">
        <v>0.55007979831262555</v>
      </c>
      <c r="AJ93" s="248">
        <v>0.5435664031431916</v>
      </c>
    </row>
    <row r="94" spans="1:36" ht="15.75">
      <c r="A94" s="156" t="s">
        <v>68</v>
      </c>
      <c r="B94" s="247">
        <v>0.45732246328034293</v>
      </c>
      <c r="C94" s="156">
        <v>0.52818140412412984</v>
      </c>
      <c r="D94" s="156">
        <v>0.54618056086769806</v>
      </c>
      <c r="E94" s="156">
        <v>-0.43558155501424445</v>
      </c>
      <c r="F94" s="156">
        <v>0.15597240149322963</v>
      </c>
      <c r="G94" s="156">
        <v>-5.1365702382946903E-2</v>
      </c>
      <c r="H94" s="156">
        <v>-0.12357592406271027</v>
      </c>
      <c r="I94" s="156">
        <v>0.14076536242886142</v>
      </c>
      <c r="J94" s="156">
        <v>0.17917899284345035</v>
      </c>
      <c r="K94" s="156">
        <v>0.13741163644993029</v>
      </c>
      <c r="L94" s="156">
        <v>0.15407530209699641</v>
      </c>
      <c r="M94" s="156">
        <v>0.22283346195170969</v>
      </c>
      <c r="N94" s="156">
        <v>0.18899343387722886</v>
      </c>
      <c r="O94" s="156">
        <v>0.35662482296506215</v>
      </c>
      <c r="P94" s="156">
        <v>0.16208030976384524</v>
      </c>
      <c r="Q94" s="156">
        <v>0.16783834665750222</v>
      </c>
      <c r="R94" s="156">
        <v>0.3090184082050047</v>
      </c>
      <c r="S94" s="156">
        <v>0.20922297748018309</v>
      </c>
      <c r="T94" s="156">
        <v>0.15686600407744164</v>
      </c>
      <c r="U94" s="156">
        <v>0.18227439270311852</v>
      </c>
      <c r="V94" s="156">
        <v>0.11137685223801601</v>
      </c>
      <c r="W94" s="156">
        <v>0.22527214835627457</v>
      </c>
      <c r="X94" s="156">
        <v>1</v>
      </c>
      <c r="Y94" s="156">
        <v>0.31893475162695484</v>
      </c>
      <c r="Z94" s="156">
        <v>0.74329857891769779</v>
      </c>
      <c r="AA94" s="156">
        <v>0.16071800861131638</v>
      </c>
      <c r="AB94" s="156">
        <v>0.23743827625297256</v>
      </c>
      <c r="AC94" s="156">
        <v>-0.12662896873584978</v>
      </c>
      <c r="AD94" s="119">
        <v>9.6544766785281372E-2</v>
      </c>
      <c r="AE94" s="119">
        <v>0.32213429018553086</v>
      </c>
      <c r="AF94" s="119">
        <v>0.33931493988321237</v>
      </c>
      <c r="AG94" s="119">
        <v>0.42078709753285026</v>
      </c>
      <c r="AH94" s="119">
        <v>0.20181590155692261</v>
      </c>
      <c r="AI94" s="119">
        <v>-2.053355274512017E-3</v>
      </c>
      <c r="AJ94" s="248">
        <v>5.2151471297722594E-2</v>
      </c>
    </row>
    <row r="95" spans="1:36" ht="15.75">
      <c r="A95" s="156" t="s">
        <v>71</v>
      </c>
      <c r="B95" s="247">
        <v>0.21161764875294889</v>
      </c>
      <c r="C95" s="156">
        <v>0.27498596122120977</v>
      </c>
      <c r="D95" s="156">
        <v>0.34002143560956199</v>
      </c>
      <c r="E95" s="156">
        <v>-0.15146015006799543</v>
      </c>
      <c r="F95" s="156">
        <v>-0.21489612997033439</v>
      </c>
      <c r="G95" s="156">
        <v>7.4112814148809321E-5</v>
      </c>
      <c r="H95" s="156">
        <v>-9.7240504892587443E-3</v>
      </c>
      <c r="I95" s="156">
        <v>-0.24670814088156881</v>
      </c>
      <c r="J95" s="156">
        <v>0.14440260548123518</v>
      </c>
      <c r="K95" s="156">
        <v>0.48526593051935818</v>
      </c>
      <c r="L95" s="156">
        <v>0.145491240519388</v>
      </c>
      <c r="M95" s="156">
        <v>0.15652376527926867</v>
      </c>
      <c r="N95" s="156">
        <v>0.17525823087997836</v>
      </c>
      <c r="O95" s="156">
        <v>0.32332605683117727</v>
      </c>
      <c r="P95" s="156">
        <v>7.3206546285851423E-2</v>
      </c>
      <c r="Q95" s="156">
        <v>5.4527446561856679E-2</v>
      </c>
      <c r="R95" s="156">
        <v>0.34688407682885619</v>
      </c>
      <c r="S95" s="156">
        <v>-0.14072399768011898</v>
      </c>
      <c r="T95" s="156">
        <v>0.24659007860098092</v>
      </c>
      <c r="U95" s="156">
        <v>0.23072550270802583</v>
      </c>
      <c r="V95" s="156">
        <v>0.1337673967995778</v>
      </c>
      <c r="W95" s="156">
        <v>0.20078717161576989</v>
      </c>
      <c r="X95" s="156">
        <v>0.31893475162695484</v>
      </c>
      <c r="Y95" s="156">
        <v>1</v>
      </c>
      <c r="Z95" s="156">
        <v>0.45106014194944566</v>
      </c>
      <c r="AA95" s="156">
        <v>-0.3280533008156713</v>
      </c>
      <c r="AB95" s="156">
        <v>3.7649869851390204E-2</v>
      </c>
      <c r="AC95" s="156">
        <v>-0.38009108657158358</v>
      </c>
      <c r="AD95" s="119">
        <v>-0.37481309964256632</v>
      </c>
      <c r="AE95" s="119">
        <v>0.28184087823971904</v>
      </c>
      <c r="AF95" s="119">
        <v>0.39967023311039046</v>
      </c>
      <c r="AG95" s="119">
        <v>0.1541800588145637</v>
      </c>
      <c r="AH95" s="119">
        <v>-3.8032113161802675E-2</v>
      </c>
      <c r="AI95" s="119">
        <v>0.34070009501450194</v>
      </c>
      <c r="AJ95" s="248">
        <v>7.9806628728439716E-2</v>
      </c>
    </row>
    <row r="96" spans="1:36" ht="15.75">
      <c r="A96" s="156" t="s">
        <v>99</v>
      </c>
      <c r="B96" s="247">
        <v>0.58058945985257882</v>
      </c>
      <c r="C96" s="156">
        <v>0.59157590456943554</v>
      </c>
      <c r="D96" s="156">
        <v>0.491482253255832</v>
      </c>
      <c r="E96" s="156">
        <v>-0.36395638539917524</v>
      </c>
      <c r="F96" s="156">
        <v>0.32188518783163972</v>
      </c>
      <c r="G96" s="156">
        <v>4.8688676180802283E-3</v>
      </c>
      <c r="H96" s="156">
        <v>-4.1554071841568792E-2</v>
      </c>
      <c r="I96" s="156">
        <v>-7.9157201825672152E-2</v>
      </c>
      <c r="J96" s="156">
        <v>0.55824326291904236</v>
      </c>
      <c r="K96" s="156">
        <v>0.43027485584430425</v>
      </c>
      <c r="L96" s="156">
        <v>0.25877929657548965</v>
      </c>
      <c r="M96" s="156">
        <v>0.2397416003594619</v>
      </c>
      <c r="N96" s="156">
        <v>0.36568131164069173</v>
      </c>
      <c r="O96" s="156">
        <v>0.35638587327582089</v>
      </c>
      <c r="P96" s="156">
        <v>0.30562025272827797</v>
      </c>
      <c r="Q96" s="156">
        <v>-0.12295701388639824</v>
      </c>
      <c r="R96" s="156">
        <v>0.41746859455849483</v>
      </c>
      <c r="S96" s="156">
        <v>9.5346036619349706E-2</v>
      </c>
      <c r="T96" s="156">
        <v>0.14684669071396267</v>
      </c>
      <c r="U96" s="156">
        <v>0.40080535294186798</v>
      </c>
      <c r="V96" s="156">
        <v>0.26750584091326612</v>
      </c>
      <c r="W96" s="156">
        <v>0.39368031412365934</v>
      </c>
      <c r="X96" s="156">
        <v>0.74329857891769779</v>
      </c>
      <c r="Y96" s="156">
        <v>0.45106014194944566</v>
      </c>
      <c r="Z96" s="156">
        <v>1</v>
      </c>
      <c r="AA96" s="156">
        <v>-0.15668252527067678</v>
      </c>
      <c r="AB96" s="156">
        <v>0.3474910379959622</v>
      </c>
      <c r="AC96" s="156">
        <v>-0.22796458778058315</v>
      </c>
      <c r="AD96" s="119">
        <v>-0.37969735679305244</v>
      </c>
      <c r="AE96" s="119">
        <v>0.29191917304722859</v>
      </c>
      <c r="AF96" s="119">
        <v>0.49469750855439248</v>
      </c>
      <c r="AG96" s="119">
        <v>0.47512652897669011</v>
      </c>
      <c r="AH96" s="119">
        <v>-0.12817912210178162</v>
      </c>
      <c r="AI96" s="119">
        <v>5.4958653608841383E-2</v>
      </c>
      <c r="AJ96" s="248">
        <v>8.6014375602329593E-2</v>
      </c>
    </row>
    <row r="97" spans="1:36" ht="15.75">
      <c r="A97" s="156" t="s">
        <v>56</v>
      </c>
      <c r="B97" s="247">
        <v>-0.26544514919887247</v>
      </c>
      <c r="C97" s="156">
        <v>-0.54437957330556597</v>
      </c>
      <c r="D97" s="156">
        <v>-0.21005076400686698</v>
      </c>
      <c r="E97" s="156">
        <v>-1.5162184633091212E-2</v>
      </c>
      <c r="F97" s="156">
        <v>-0.44584215898254925</v>
      </c>
      <c r="G97" s="156">
        <v>-0.68812149592551586</v>
      </c>
      <c r="H97" s="156">
        <v>0.13573092872002318</v>
      </c>
      <c r="I97" s="156">
        <v>0.17076326614366519</v>
      </c>
      <c r="J97" s="156">
        <v>-0.5669186193395187</v>
      </c>
      <c r="K97" s="156">
        <v>-0.20704696811406223</v>
      </c>
      <c r="L97" s="156">
        <v>-0.38959096999245713</v>
      </c>
      <c r="M97" s="156">
        <v>-0.40331805219476158</v>
      </c>
      <c r="N97" s="156">
        <v>-0.5223133974084172</v>
      </c>
      <c r="O97" s="156">
        <v>-0.3301724090614046</v>
      </c>
      <c r="P97" s="156">
        <v>-0.79170667276193063</v>
      </c>
      <c r="Q97" s="156">
        <v>8.2837413555037667E-2</v>
      </c>
      <c r="R97" s="156">
        <v>-0.50962533131844701</v>
      </c>
      <c r="S97" s="156">
        <v>-0.33622404938352785</v>
      </c>
      <c r="T97" s="156">
        <v>-0.29723022150430611</v>
      </c>
      <c r="U97" s="156">
        <v>-0.3479418992637085</v>
      </c>
      <c r="V97" s="156">
        <v>-0.49948526396636239</v>
      </c>
      <c r="W97" s="156">
        <v>-5.1947882408236168E-2</v>
      </c>
      <c r="X97" s="156">
        <v>0.16071800861131638</v>
      </c>
      <c r="Y97" s="156">
        <v>-0.3280533008156713</v>
      </c>
      <c r="Z97" s="156">
        <v>-0.15668252527067678</v>
      </c>
      <c r="AA97" s="156">
        <v>1</v>
      </c>
      <c r="AB97" s="156">
        <v>8.506827150807271E-2</v>
      </c>
      <c r="AC97" s="156">
        <v>0.65876728136964191</v>
      </c>
      <c r="AD97" s="119">
        <v>0.59481727145330077</v>
      </c>
      <c r="AE97" s="119">
        <v>-5.458281614365728E-2</v>
      </c>
      <c r="AF97" s="119">
        <v>-3.6761928883462282E-2</v>
      </c>
      <c r="AG97" s="119">
        <v>0.27466185092526962</v>
      </c>
      <c r="AH97" s="119">
        <v>6.2732169023968345E-2</v>
      </c>
      <c r="AI97" s="119">
        <v>-0.16204958008976111</v>
      </c>
      <c r="AJ97" s="248">
        <v>-0.41700112474190609</v>
      </c>
    </row>
    <row r="98" spans="1:36" ht="15.75">
      <c r="A98" s="156" t="s">
        <v>59</v>
      </c>
      <c r="B98" s="247">
        <v>-0.371567732088535</v>
      </c>
      <c r="C98" s="156">
        <v>-2.4537196811955264E-2</v>
      </c>
      <c r="D98" s="156">
        <v>-0.15494487298965698</v>
      </c>
      <c r="E98" s="156">
        <v>-0.12974439706353039</v>
      </c>
      <c r="F98" s="156">
        <v>-0.25240057554897766</v>
      </c>
      <c r="G98" s="156">
        <v>-0.43444562283351706</v>
      </c>
      <c r="H98" s="156">
        <v>0.57477323584681028</v>
      </c>
      <c r="I98" s="156">
        <v>0.30049735364497249</v>
      </c>
      <c r="J98" s="156">
        <v>-0.14417789525576444</v>
      </c>
      <c r="K98" s="156">
        <v>2.0383626688327654E-3</v>
      </c>
      <c r="L98" s="156">
        <v>-0.14960641377307082</v>
      </c>
      <c r="M98" s="156">
        <v>-0.14017114000158543</v>
      </c>
      <c r="N98" s="156">
        <v>-0.33926245642440594</v>
      </c>
      <c r="O98" s="156">
        <v>-0.22252570521210169</v>
      </c>
      <c r="P98" s="156">
        <v>-0.11759677809448217</v>
      </c>
      <c r="Q98" s="156">
        <v>-0.15034193540513954</v>
      </c>
      <c r="R98" s="156">
        <v>-0.14007021910017969</v>
      </c>
      <c r="S98" s="156">
        <v>-0.13843648882733733</v>
      </c>
      <c r="T98" s="156">
        <v>-5.2100208712057637E-2</v>
      </c>
      <c r="U98" s="156">
        <v>0.28522296544082226</v>
      </c>
      <c r="V98" s="156">
        <v>-0.20186112027183128</v>
      </c>
      <c r="W98" s="156">
        <v>-1.6109945350357962E-2</v>
      </c>
      <c r="X98" s="156">
        <v>0.23743827625297256</v>
      </c>
      <c r="Y98" s="156">
        <v>3.7649869851390204E-2</v>
      </c>
      <c r="Z98" s="156">
        <v>0.3474910379959622</v>
      </c>
      <c r="AA98" s="156">
        <v>8.506827150807271E-2</v>
      </c>
      <c r="AB98" s="156">
        <v>1</v>
      </c>
      <c r="AC98" s="156">
        <v>-0.30810233668104392</v>
      </c>
      <c r="AD98" s="119">
        <v>-4.5347366088024872E-2</v>
      </c>
      <c r="AE98" s="119">
        <v>-0.1779951491925186</v>
      </c>
      <c r="AF98" s="119">
        <v>-8.592147571022897E-2</v>
      </c>
      <c r="AG98" s="119">
        <v>-4.3108944169934306E-2</v>
      </c>
      <c r="AH98" s="119">
        <v>-0.16940122230335994</v>
      </c>
      <c r="AI98" s="119">
        <v>-5.195735118917736E-2</v>
      </c>
      <c r="AJ98" s="248">
        <v>-0.27705340575624238</v>
      </c>
    </row>
    <row r="99" spans="1:36" ht="15.75">
      <c r="A99" s="156" t="s">
        <v>101</v>
      </c>
      <c r="B99" s="247">
        <v>2.5279032893071696E-2</v>
      </c>
      <c r="C99" s="156">
        <v>-0.52794040240018092</v>
      </c>
      <c r="D99" s="156">
        <v>-0.35436902270834131</v>
      </c>
      <c r="E99" s="156">
        <v>0.15063808129755063</v>
      </c>
      <c r="F99" s="156">
        <v>-0.18960312968651685</v>
      </c>
      <c r="G99" s="156">
        <v>-0.39397275748529931</v>
      </c>
      <c r="H99" s="156">
        <v>-0.1603381137335039</v>
      </c>
      <c r="I99" s="156">
        <v>3.7150869206137263E-2</v>
      </c>
      <c r="J99" s="156">
        <v>-0.20999192306939168</v>
      </c>
      <c r="K99" s="156">
        <v>8.4104990287019385E-2</v>
      </c>
      <c r="L99" s="156">
        <v>-0.25064117130127295</v>
      </c>
      <c r="M99" s="156">
        <v>-0.35539238964008191</v>
      </c>
      <c r="N99" s="156">
        <v>-0.14213982450117271</v>
      </c>
      <c r="O99" s="156">
        <v>-0.34353891129437064</v>
      </c>
      <c r="P99" s="156">
        <v>-0.55402308367768527</v>
      </c>
      <c r="Q99" s="156">
        <v>-0.3196020020376405</v>
      </c>
      <c r="R99" s="156">
        <v>-0.46310607341826876</v>
      </c>
      <c r="S99" s="156">
        <v>-0.26140583695157227</v>
      </c>
      <c r="T99" s="156">
        <v>-0.55979467797589932</v>
      </c>
      <c r="U99" s="156">
        <v>-0.39793216115301133</v>
      </c>
      <c r="V99" s="156">
        <v>-0.21480413769083112</v>
      </c>
      <c r="W99" s="156">
        <v>-8.4599781027534446E-2</v>
      </c>
      <c r="X99" s="156">
        <v>-0.12662896873584978</v>
      </c>
      <c r="Y99" s="156">
        <v>-0.38009108657158358</v>
      </c>
      <c r="Z99" s="156">
        <v>-0.22796458778058315</v>
      </c>
      <c r="AA99" s="156">
        <v>0.65876728136964191</v>
      </c>
      <c r="AB99" s="156">
        <v>-0.30810233668104392</v>
      </c>
      <c r="AC99" s="156">
        <v>1</v>
      </c>
      <c r="AD99" s="119">
        <v>0.52127097549777834</v>
      </c>
      <c r="AE99" s="119">
        <v>-0.31271987995209882</v>
      </c>
      <c r="AF99" s="119">
        <v>0.23231600255461415</v>
      </c>
      <c r="AG99" s="119">
        <v>0.42262581909612995</v>
      </c>
      <c r="AH99" s="119">
        <v>-0.31520760038374573</v>
      </c>
      <c r="AI99" s="119">
        <v>-0.27849707879519298</v>
      </c>
      <c r="AJ99" s="248">
        <v>-0.2871599827600787</v>
      </c>
    </row>
    <row r="100" spans="1:36" ht="15.75">
      <c r="A100" s="156" t="s">
        <v>61</v>
      </c>
      <c r="B100" s="247">
        <v>-0.12055985834567509</v>
      </c>
      <c r="C100" s="156">
        <v>-0.21921213556884922</v>
      </c>
      <c r="D100" s="156">
        <v>-0.17946569591795464</v>
      </c>
      <c r="E100" s="156">
        <v>-0.10266238789612793</v>
      </c>
      <c r="F100" s="156">
        <v>-0.26023438517049363</v>
      </c>
      <c r="G100" s="156">
        <v>-0.1699975094478729</v>
      </c>
      <c r="H100" s="156">
        <v>-8.1268777306566717E-2</v>
      </c>
      <c r="I100" s="156">
        <v>0.33505815414397994</v>
      </c>
      <c r="J100" s="156">
        <v>-0.44035756521059283</v>
      </c>
      <c r="K100" s="156">
        <v>-0.25579223395569212</v>
      </c>
      <c r="L100" s="156">
        <v>-5.1321741353649461E-2</v>
      </c>
      <c r="M100" s="156">
        <v>-0.15702359807144081</v>
      </c>
      <c r="N100" s="156">
        <v>-0.50498261392566257</v>
      </c>
      <c r="O100" s="156">
        <v>-0.36882101430813047</v>
      </c>
      <c r="P100" s="156">
        <v>-0.43319001613108099</v>
      </c>
      <c r="Q100" s="156">
        <v>0.22287867018461729</v>
      </c>
      <c r="R100" s="156">
        <v>-8.6909893568408308E-2</v>
      </c>
      <c r="S100" s="156">
        <v>4.4151312776574074E-2</v>
      </c>
      <c r="T100" s="156">
        <v>-0.12728598126769533</v>
      </c>
      <c r="U100" s="156">
        <v>-0.24839529068298488</v>
      </c>
      <c r="V100" s="156">
        <v>-0.238343789600934</v>
      </c>
      <c r="W100" s="156">
        <v>6.4776355678261991E-3</v>
      </c>
      <c r="X100" s="156">
        <v>9.6544766785281372E-2</v>
      </c>
      <c r="Y100" s="156">
        <v>-0.37481309964256632</v>
      </c>
      <c r="Z100" s="156">
        <v>-0.37969735679305244</v>
      </c>
      <c r="AA100" s="156">
        <v>0.59481727145330077</v>
      </c>
      <c r="AB100" s="156">
        <v>-4.5347366088024872E-2</v>
      </c>
      <c r="AC100" s="156">
        <v>0.52127097549777834</v>
      </c>
      <c r="AD100" s="119">
        <v>1</v>
      </c>
      <c r="AE100" s="119">
        <v>-7.5161415098419213E-2</v>
      </c>
      <c r="AF100" s="119">
        <v>-2.417426315862355E-2</v>
      </c>
      <c r="AG100" s="119">
        <v>0.16364425022080215</v>
      </c>
      <c r="AH100" s="119">
        <v>0.20405362092213913</v>
      </c>
      <c r="AI100" s="119">
        <v>-7.1196039694350066E-2</v>
      </c>
      <c r="AJ100" s="248">
        <v>2.0087271754886974E-3</v>
      </c>
    </row>
    <row r="101" spans="1:36" ht="15.75">
      <c r="A101" s="156" t="s">
        <v>176</v>
      </c>
      <c r="B101" s="247">
        <v>0.32537279019977594</v>
      </c>
      <c r="C101" s="156">
        <v>0.36183945262021289</v>
      </c>
      <c r="D101" s="156">
        <v>0.76387981702344532</v>
      </c>
      <c r="E101" s="156">
        <v>-0.22049847017543109</v>
      </c>
      <c r="F101" s="156">
        <v>1.5809664829235213E-2</v>
      </c>
      <c r="G101" s="156">
        <v>0.1324844906780667</v>
      </c>
      <c r="H101" s="156">
        <v>-5.4879758137578366E-2</v>
      </c>
      <c r="I101" s="156">
        <v>-4.163260052558148E-2</v>
      </c>
      <c r="J101" s="156">
        <v>0.17792597433329629</v>
      </c>
      <c r="K101" s="156">
        <v>-8.0052612262607847E-2</v>
      </c>
      <c r="L101" s="156">
        <v>7.2505523919761741E-2</v>
      </c>
      <c r="M101" s="156">
        <v>0.3321618655087506</v>
      </c>
      <c r="N101" s="156">
        <v>-0.23823681111023493</v>
      </c>
      <c r="O101" s="156">
        <v>2.3423168913054643E-2</v>
      </c>
      <c r="P101" s="156">
        <v>0.23193916464898978</v>
      </c>
      <c r="Q101" s="156">
        <v>0.71694840823955308</v>
      </c>
      <c r="R101" s="156">
        <v>0.23869174461926862</v>
      </c>
      <c r="S101" s="156">
        <v>-0.18762887440819745</v>
      </c>
      <c r="T101" s="156">
        <v>0.60547462512921579</v>
      </c>
      <c r="U101" s="156">
        <v>0.30328700586252316</v>
      </c>
      <c r="V101" s="156">
        <v>8.4198267271001284E-2</v>
      </c>
      <c r="W101" s="156">
        <v>0.28656178453402364</v>
      </c>
      <c r="X101" s="156">
        <v>0.32213429018553086</v>
      </c>
      <c r="Y101" s="156">
        <v>0.28184087823971904</v>
      </c>
      <c r="Z101" s="156">
        <v>0.29191917304722859</v>
      </c>
      <c r="AA101" s="156">
        <v>-5.458281614365728E-2</v>
      </c>
      <c r="AB101" s="156">
        <v>-0.1779951491925186</v>
      </c>
      <c r="AC101" s="156">
        <v>-0.31271987995209882</v>
      </c>
      <c r="AD101" s="119">
        <v>-7.5161415098419213E-2</v>
      </c>
      <c r="AE101" s="119">
        <v>1</v>
      </c>
      <c r="AF101" s="119">
        <v>0.12369199733725215</v>
      </c>
      <c r="AG101" s="119">
        <v>0.13346850580228981</v>
      </c>
      <c r="AH101" s="119">
        <v>0.33689857697713721</v>
      </c>
      <c r="AI101" s="119">
        <v>-1.1204843813482355E-3</v>
      </c>
      <c r="AJ101" s="248">
        <v>0.37957443215017428</v>
      </c>
    </row>
    <row r="102" spans="1:36" ht="15.75">
      <c r="A102" s="156" t="s">
        <v>177</v>
      </c>
      <c r="B102" s="247">
        <v>0.62992994085657972</v>
      </c>
      <c r="C102" s="156">
        <v>7.0017534359785277E-2</v>
      </c>
      <c r="D102" s="156">
        <v>0.46567673156455414</v>
      </c>
      <c r="E102" s="156">
        <v>0.17052384334612897</v>
      </c>
      <c r="F102" s="156">
        <v>-4.1360690837078634E-2</v>
      </c>
      <c r="G102" s="156">
        <v>-9.5754952639573288E-2</v>
      </c>
      <c r="H102" s="156">
        <v>-0.26952139423336557</v>
      </c>
      <c r="I102" s="156">
        <v>-0.12937672816209447</v>
      </c>
      <c r="J102" s="156">
        <v>0.39964031997332966</v>
      </c>
      <c r="K102" s="156">
        <v>0.51089873699949506</v>
      </c>
      <c r="L102" s="156">
        <v>3.5234182434721317E-2</v>
      </c>
      <c r="M102" s="156">
        <v>-0.1436962320807075</v>
      </c>
      <c r="N102" s="156">
        <v>0.32467659285097583</v>
      </c>
      <c r="O102" s="156">
        <v>0.28797505501327975</v>
      </c>
      <c r="P102" s="156">
        <v>1.1885104259417904E-4</v>
      </c>
      <c r="Q102" s="156">
        <v>-5.9388957034915188E-2</v>
      </c>
      <c r="R102" s="156">
        <v>0.10342482185252241</v>
      </c>
      <c r="S102" s="156">
        <v>-8.2148344349521424E-2</v>
      </c>
      <c r="T102" s="156">
        <v>-0.26108959116818214</v>
      </c>
      <c r="U102" s="156">
        <v>-8.0452451119321353E-2</v>
      </c>
      <c r="V102" s="156">
        <v>0.15016412341872359</v>
      </c>
      <c r="W102" s="156">
        <v>0.12469189307243667</v>
      </c>
      <c r="X102" s="156">
        <v>0.33931493988321237</v>
      </c>
      <c r="Y102" s="156">
        <v>0.39967023311039046</v>
      </c>
      <c r="Z102" s="156">
        <v>0.49469750855439248</v>
      </c>
      <c r="AA102" s="156">
        <v>-3.6761928883462282E-2</v>
      </c>
      <c r="AB102" s="156">
        <v>-8.592147571022897E-2</v>
      </c>
      <c r="AC102" s="156">
        <v>0.23231600255461415</v>
      </c>
      <c r="AD102" s="119">
        <v>-2.417426315862355E-2</v>
      </c>
      <c r="AE102" s="119">
        <v>0.12369199733725215</v>
      </c>
      <c r="AF102" s="119">
        <v>1</v>
      </c>
      <c r="AG102" s="119">
        <v>0.87671066748158655</v>
      </c>
      <c r="AH102" s="119">
        <v>-0.22658148130307348</v>
      </c>
      <c r="AI102" s="119">
        <v>-0.18493914218896168</v>
      </c>
      <c r="AJ102" s="248">
        <v>0.20847382780345752</v>
      </c>
    </row>
    <row r="103" spans="1:36" ht="15.75">
      <c r="A103" s="156" t="s">
        <v>178</v>
      </c>
      <c r="B103" s="247">
        <v>0.49922849409345443</v>
      </c>
      <c r="C103" s="156">
        <v>-1.0323876251373522E-2</v>
      </c>
      <c r="D103" s="156">
        <v>0.3295500449876656</v>
      </c>
      <c r="E103" s="156">
        <v>9.4094761811909233E-2</v>
      </c>
      <c r="F103" s="156">
        <v>-6.968829126802209E-2</v>
      </c>
      <c r="G103" s="156">
        <v>-0.15751601152747943</v>
      </c>
      <c r="H103" s="156">
        <v>-0.23713448009269644</v>
      </c>
      <c r="I103" s="156">
        <v>9.5915371851833811E-2</v>
      </c>
      <c r="J103" s="156">
        <v>0.25762978399384573</v>
      </c>
      <c r="K103" s="156">
        <v>0.53224575216461645</v>
      </c>
      <c r="L103" s="156">
        <v>7.5627084737447267E-2</v>
      </c>
      <c r="M103" s="156">
        <v>-0.17550525173209672</v>
      </c>
      <c r="N103" s="156">
        <v>0.15934159955681748</v>
      </c>
      <c r="O103" s="156">
        <v>0.1047001425680826</v>
      </c>
      <c r="P103" s="156">
        <v>-0.15887371209265769</v>
      </c>
      <c r="Q103" s="156">
        <v>-7.8480244856920595E-2</v>
      </c>
      <c r="R103" s="156">
        <v>-5.3446558954272368E-2</v>
      </c>
      <c r="S103" s="156">
        <v>-0.19689272094203508</v>
      </c>
      <c r="T103" s="156">
        <v>-0.20658039048538063</v>
      </c>
      <c r="U103" s="156">
        <v>-0.11369121160121591</v>
      </c>
      <c r="V103" s="156">
        <v>0.12100873458759477</v>
      </c>
      <c r="W103" s="156">
        <v>0.26595651193312392</v>
      </c>
      <c r="X103" s="156">
        <v>0.42078709753285026</v>
      </c>
      <c r="Y103" s="156">
        <v>0.1541800588145637</v>
      </c>
      <c r="Z103" s="156">
        <v>0.47512652897669011</v>
      </c>
      <c r="AA103" s="156">
        <v>0.27466185092526962</v>
      </c>
      <c r="AB103" s="156">
        <v>-4.3108944169934306E-2</v>
      </c>
      <c r="AC103" s="156">
        <v>0.42262581909612995</v>
      </c>
      <c r="AD103" s="119">
        <v>0.16364425022080215</v>
      </c>
      <c r="AE103" s="119">
        <v>0.13346850580228981</v>
      </c>
      <c r="AF103" s="119">
        <v>0.87671066748158655</v>
      </c>
      <c r="AG103" s="119">
        <v>1</v>
      </c>
      <c r="AH103" s="119">
        <v>-2.6201862323684381E-2</v>
      </c>
      <c r="AI103" s="119">
        <v>-0.19120649120119218</v>
      </c>
      <c r="AJ103" s="248">
        <v>0.24903477007327554</v>
      </c>
    </row>
    <row r="104" spans="1:36" ht="15.75">
      <c r="A104" s="156" t="s">
        <v>179</v>
      </c>
      <c r="B104" s="247">
        <v>-0.14920649018707788</v>
      </c>
      <c r="C104" s="156">
        <v>0.32880214768792082</v>
      </c>
      <c r="D104" s="156">
        <v>0.1834406707239658</v>
      </c>
      <c r="E104" s="156">
        <v>-0.14971016823255787</v>
      </c>
      <c r="F104" s="156">
        <v>0.17558084966052467</v>
      </c>
      <c r="G104" s="156">
        <v>0.38478831071309144</v>
      </c>
      <c r="H104" s="156">
        <v>5.1222747728146056E-2</v>
      </c>
      <c r="I104" s="156">
        <v>0.42044972026488764</v>
      </c>
      <c r="J104" s="156">
        <v>-9.9670704134201385E-2</v>
      </c>
      <c r="K104" s="156">
        <v>-3.3500994284575556E-4</v>
      </c>
      <c r="L104" s="156">
        <v>0.28030076245786151</v>
      </c>
      <c r="M104" s="156">
        <v>0.51299290167249045</v>
      </c>
      <c r="N104" s="156">
        <v>-0.16373394094346963</v>
      </c>
      <c r="O104" s="156">
        <v>-5.5506970116820833E-2</v>
      </c>
      <c r="P104" s="156">
        <v>1.4297394003784493E-2</v>
      </c>
      <c r="Q104" s="156">
        <v>0.5003551747298719</v>
      </c>
      <c r="R104" s="156">
        <v>0.25160238265075591</v>
      </c>
      <c r="S104" s="156">
        <v>9.6789230386777017E-2</v>
      </c>
      <c r="T104" s="156">
        <v>0.5756483391515741</v>
      </c>
      <c r="U104" s="156">
        <v>-7.0626230792322192E-2</v>
      </c>
      <c r="V104" s="156">
        <v>0.27775487561199208</v>
      </c>
      <c r="W104" s="156">
        <v>0.47229360630197131</v>
      </c>
      <c r="X104" s="156">
        <v>0.20181590155692261</v>
      </c>
      <c r="Y104" s="156">
        <v>-3.8032113161802675E-2</v>
      </c>
      <c r="Z104" s="156">
        <v>-0.12817912210178162</v>
      </c>
      <c r="AA104" s="156">
        <v>6.2732169023968345E-2</v>
      </c>
      <c r="AB104" s="156">
        <v>-0.16940122230335994</v>
      </c>
      <c r="AC104" s="156">
        <v>-0.31520760038374573</v>
      </c>
      <c r="AD104" s="119">
        <v>0.20405362092213913</v>
      </c>
      <c r="AE104" s="119">
        <v>0.33689857697713721</v>
      </c>
      <c r="AF104" s="119">
        <v>-0.22658148130307348</v>
      </c>
      <c r="AG104" s="119">
        <v>-2.6201862323684381E-2</v>
      </c>
      <c r="AH104" s="119">
        <v>1</v>
      </c>
      <c r="AI104" s="119">
        <v>0.32705837086332473</v>
      </c>
      <c r="AJ104" s="248">
        <v>0.57530036226390546</v>
      </c>
    </row>
    <row r="105" spans="1:36" ht="15.75">
      <c r="A105" s="156" t="s">
        <v>180</v>
      </c>
      <c r="B105" s="247">
        <v>-7.3660727491853609E-2</v>
      </c>
      <c r="C105" s="156">
        <v>0.23745203457159494</v>
      </c>
      <c r="D105" s="156">
        <v>-0.11290366577963754</v>
      </c>
      <c r="E105" s="156">
        <v>-5.6765846617641287E-2</v>
      </c>
      <c r="F105" s="156">
        <v>6.5674745729937964E-2</v>
      </c>
      <c r="G105" s="156">
        <v>0.20484704544151086</v>
      </c>
      <c r="H105" s="156">
        <v>-0.22306306524593503</v>
      </c>
      <c r="I105" s="156">
        <v>-0.23080738109964186</v>
      </c>
      <c r="J105" s="156">
        <v>6.5568061023361475E-3</v>
      </c>
      <c r="K105" s="156">
        <v>6.2418480069732205E-2</v>
      </c>
      <c r="L105" s="156">
        <v>0.15425468258758748</v>
      </c>
      <c r="M105" s="156">
        <v>0.41646595068380748</v>
      </c>
      <c r="N105" s="156">
        <v>5.569665505204633E-2</v>
      </c>
      <c r="O105" s="156">
        <v>-1.9893081875629826E-2</v>
      </c>
      <c r="P105" s="156">
        <v>-0.13094826032374071</v>
      </c>
      <c r="Q105" s="156">
        <v>0.10822837941276531</v>
      </c>
      <c r="R105" s="156">
        <v>0.45514922889027964</v>
      </c>
      <c r="S105" s="156">
        <v>0.29409059491882483</v>
      </c>
      <c r="T105" s="156">
        <v>0.537013019705598</v>
      </c>
      <c r="U105" s="156">
        <v>0.26515115024063418</v>
      </c>
      <c r="V105" s="156">
        <v>0.11785481536224011</v>
      </c>
      <c r="W105" s="156">
        <v>0.55007979831262555</v>
      </c>
      <c r="X105" s="156">
        <v>-2.053355274512017E-3</v>
      </c>
      <c r="Y105" s="156">
        <v>0.34070009501450194</v>
      </c>
      <c r="Z105" s="156">
        <v>5.4958653608841383E-2</v>
      </c>
      <c r="AA105" s="156">
        <v>-0.16204958008976111</v>
      </c>
      <c r="AB105" s="156">
        <v>-5.195735118917736E-2</v>
      </c>
      <c r="AC105" s="156">
        <v>-0.27849707879519298</v>
      </c>
      <c r="AD105" s="119">
        <v>-7.1196039694350066E-2</v>
      </c>
      <c r="AE105" s="119">
        <v>-1.1204843813482355E-3</v>
      </c>
      <c r="AF105" s="119">
        <v>-0.18493914218896168</v>
      </c>
      <c r="AG105" s="119">
        <v>-0.19120649120119218</v>
      </c>
      <c r="AH105" s="119">
        <v>0.32705837086332473</v>
      </c>
      <c r="AI105" s="119">
        <v>1</v>
      </c>
      <c r="AJ105" s="248">
        <v>0.14283838308887786</v>
      </c>
    </row>
    <row r="106" spans="1:36" ht="15.75" thickBot="1">
      <c r="A106" s="119" t="s">
        <v>181</v>
      </c>
      <c r="B106" s="249">
        <v>0.28510373809958067</v>
      </c>
      <c r="C106" s="250">
        <v>0.44269793531047541</v>
      </c>
      <c r="D106" s="250">
        <v>0.34705762885803149</v>
      </c>
      <c r="E106" s="250">
        <v>-0.10660214914820441</v>
      </c>
      <c r="F106" s="250">
        <v>0.31852128506844901</v>
      </c>
      <c r="G106" s="250">
        <v>0.74026956455242043</v>
      </c>
      <c r="H106" s="250">
        <v>-0.3369577537609813</v>
      </c>
      <c r="I106" s="250">
        <v>7.3722281159728995E-2</v>
      </c>
      <c r="J106" s="250">
        <v>0.44619938436252804</v>
      </c>
      <c r="K106" s="250">
        <v>0.35110836829956354</v>
      </c>
      <c r="L106" s="250">
        <v>0.44055298746023813</v>
      </c>
      <c r="M106" s="250">
        <v>0.41600091424499203</v>
      </c>
      <c r="N106" s="250">
        <v>0.1409774474210716</v>
      </c>
      <c r="O106" s="250">
        <v>-2.6067664499655682E-2</v>
      </c>
      <c r="P106" s="250">
        <v>0.39241953751941017</v>
      </c>
      <c r="Q106" s="250">
        <v>0.21933917577156473</v>
      </c>
      <c r="R106" s="250">
        <v>0.44928884253881807</v>
      </c>
      <c r="S106" s="250">
        <v>4.2099175198005059E-2</v>
      </c>
      <c r="T106" s="250">
        <v>0.55622335642928922</v>
      </c>
      <c r="U106" s="250">
        <v>0.17234045320227592</v>
      </c>
      <c r="V106" s="250">
        <v>0.59442481931503111</v>
      </c>
      <c r="W106" s="250">
        <v>0.5435664031431916</v>
      </c>
      <c r="X106" s="250">
        <v>5.2151471297722594E-2</v>
      </c>
      <c r="Y106" s="250">
        <v>7.9806628728439716E-2</v>
      </c>
      <c r="Z106" s="250">
        <v>8.6014375602329593E-2</v>
      </c>
      <c r="AA106" s="250">
        <v>-0.41700112474190609</v>
      </c>
      <c r="AB106" s="250">
        <v>-0.27705340575624238</v>
      </c>
      <c r="AC106" s="250">
        <v>-0.2871599827600787</v>
      </c>
      <c r="AD106" s="250">
        <v>2.0087271754886974E-3</v>
      </c>
      <c r="AE106" s="250">
        <v>0.37957443215017428</v>
      </c>
      <c r="AF106" s="250">
        <v>0.20847382780345752</v>
      </c>
      <c r="AG106" s="250">
        <v>0.24903477007327554</v>
      </c>
      <c r="AH106" s="250">
        <v>0.57530036226390546</v>
      </c>
      <c r="AI106" s="250">
        <v>0.14283838308887786</v>
      </c>
      <c r="AJ106" s="251">
        <v>1</v>
      </c>
    </row>
    <row r="107" spans="1:36" ht="15.75" thickBot="1"/>
    <row r="108" spans="1:36">
      <c r="B108" s="252">
        <v>9.3767776947431614</v>
      </c>
      <c r="C108" s="245">
        <v>12.506976495701064</v>
      </c>
      <c r="D108" s="245">
        <v>8.0614698997798513</v>
      </c>
      <c r="E108" s="245">
        <v>0.65150412319463791</v>
      </c>
      <c r="F108" s="245">
        <v>8.8587861288519143</v>
      </c>
      <c r="G108" s="245">
        <v>9.2468168813510108</v>
      </c>
      <c r="H108" s="245">
        <v>1.4833653411258649</v>
      </c>
      <c r="I108" s="245">
        <v>3.4782144205938179</v>
      </c>
      <c r="J108" s="245">
        <v>9.1888901089616724</v>
      </c>
      <c r="K108" s="245">
        <v>5.761799198600607</v>
      </c>
      <c r="L108" s="245">
        <v>8.447273945973965</v>
      </c>
      <c r="M108" s="245">
        <v>9.247852012287721</v>
      </c>
      <c r="N108" s="245">
        <v>7.7009296357518942</v>
      </c>
      <c r="O108" s="245">
        <v>6.6327740423512562</v>
      </c>
      <c r="P108" s="245">
        <v>8.7792932325335968</v>
      </c>
      <c r="Q108" s="245">
        <v>4.1367262485853429</v>
      </c>
      <c r="R108" s="245">
        <v>11.19731697546233</v>
      </c>
      <c r="S108" s="245">
        <v>6.40980128946559</v>
      </c>
      <c r="T108" s="245">
        <v>7.7296990675549004</v>
      </c>
      <c r="U108" s="245">
        <v>6.0302029973018438</v>
      </c>
      <c r="V108" s="245">
        <v>9.3269776390357944</v>
      </c>
      <c r="W108" s="245">
        <v>8.5437144130564615</v>
      </c>
      <c r="X108" s="245">
        <v>7.484627364510489</v>
      </c>
      <c r="Y108" s="245">
        <v>5.6072978646445994</v>
      </c>
      <c r="Z108" s="245">
        <v>9.1713469549938402</v>
      </c>
      <c r="AA108" s="245">
        <v>2.2260964613102954</v>
      </c>
      <c r="AB108" s="245">
        <v>1.8701793732098353</v>
      </c>
      <c r="AC108" s="245">
        <v>2.1321530522019434</v>
      </c>
      <c r="AD108" s="245">
        <v>2.1909053847277877</v>
      </c>
      <c r="AE108" s="245">
        <v>6.5420316020695051</v>
      </c>
      <c r="AF108" s="245">
        <v>5.9478478035100322</v>
      </c>
      <c r="AG108" s="245">
        <v>5.7055378312098481</v>
      </c>
      <c r="AH108" s="245">
        <v>6.2341781153530125</v>
      </c>
      <c r="AI108" s="245">
        <v>4.3964888896570669</v>
      </c>
      <c r="AJ108" s="246">
        <v>8.7471162761383372</v>
      </c>
    </row>
    <row r="109" spans="1:36">
      <c r="B109" s="253">
        <v>-2.0218248681050048</v>
      </c>
      <c r="C109" s="119">
        <v>-1.9533388121425939</v>
      </c>
      <c r="D109" s="119">
        <v>-1.4847781716432833</v>
      </c>
      <c r="E109" s="119">
        <v>-6.7259253039535771</v>
      </c>
      <c r="F109" s="119">
        <v>-2.241100834949437</v>
      </c>
      <c r="G109" s="119">
        <v>-2.7264999503803029</v>
      </c>
      <c r="H109" s="119">
        <v>-6.0521652830983719</v>
      </c>
      <c r="I109" s="119">
        <v>-2.8683364525261301</v>
      </c>
      <c r="J109" s="119">
        <v>-2.4322459765575375</v>
      </c>
      <c r="K109" s="119">
        <v>-1.2393412298538395</v>
      </c>
      <c r="L109" s="119">
        <v>-1.6035092106715594</v>
      </c>
      <c r="M109" s="119">
        <v>-1.7908424416638584</v>
      </c>
      <c r="N109" s="119">
        <v>-3.3646382320415653</v>
      </c>
      <c r="O109" s="119">
        <v>-2.5937916538485957</v>
      </c>
      <c r="P109" s="119">
        <v>-2.8225417223700782</v>
      </c>
      <c r="Q109" s="119">
        <v>-2.104225059934957</v>
      </c>
      <c r="R109" s="119">
        <v>-2.2021568241259364</v>
      </c>
      <c r="S109" s="119">
        <v>-2.3084562038022116</v>
      </c>
      <c r="T109" s="119">
        <v>-2.3608356135172857</v>
      </c>
      <c r="U109" s="119">
        <v>-2.0044195798153419</v>
      </c>
      <c r="V109" s="119">
        <v>-1.8837488488504546</v>
      </c>
      <c r="W109" s="119">
        <v>-0.81422122349013948</v>
      </c>
      <c r="X109" s="119">
        <v>-0.73920550547026342</v>
      </c>
      <c r="Y109" s="119">
        <v>-1.8845020692809002</v>
      </c>
      <c r="Z109" s="119">
        <v>-1.5001482648989084</v>
      </c>
      <c r="AA109" s="119">
        <v>-8.577654338714737</v>
      </c>
      <c r="AB109" s="119">
        <v>-4.3387879548550163</v>
      </c>
      <c r="AC109" s="119">
        <v>-8.0195669214127534</v>
      </c>
      <c r="AD109" s="119">
        <v>-5.016214028204848</v>
      </c>
      <c r="AE109" s="119">
        <v>-1.444508871387673</v>
      </c>
      <c r="AF109" s="119">
        <v>-1.7211676328691095</v>
      </c>
      <c r="AG109" s="119">
        <v>-1.7186500474989614</v>
      </c>
      <c r="AH109" s="119">
        <v>-1.5923929159267434</v>
      </c>
      <c r="AI109" s="119">
        <v>-1.7910615512485752</v>
      </c>
      <c r="AJ109" s="248">
        <v>-1.4508420806670688</v>
      </c>
    </row>
    <row r="110" spans="1:36" ht="15.75" thickBot="1">
      <c r="B110" s="249">
        <v>0.32567435893851904</v>
      </c>
      <c r="C110" s="250">
        <v>0.41315186593839021</v>
      </c>
      <c r="D110" s="250">
        <v>0.27274994489780385</v>
      </c>
      <c r="E110" s="250">
        <v>0.21078369791852042</v>
      </c>
      <c r="F110" s="250">
        <v>0.31713962753718145</v>
      </c>
      <c r="G110" s="250">
        <v>0.34209476662089466</v>
      </c>
      <c r="H110" s="250">
        <v>0.21530087497783532</v>
      </c>
      <c r="I110" s="250">
        <v>0.18133002494628425</v>
      </c>
      <c r="J110" s="250">
        <v>0.33203245958626315</v>
      </c>
      <c r="K110" s="250">
        <v>0.20003258367012705</v>
      </c>
      <c r="L110" s="250">
        <v>0.28716523304701497</v>
      </c>
      <c r="M110" s="250">
        <v>0.3153912701129023</v>
      </c>
      <c r="N110" s="250">
        <v>0.31615908193695602</v>
      </c>
      <c r="O110" s="250">
        <v>0.2636161627485672</v>
      </c>
      <c r="P110" s="250">
        <v>0.33148099871153358</v>
      </c>
      <c r="Q110" s="250">
        <v>0.17831289452915142</v>
      </c>
      <c r="R110" s="250">
        <v>0.38284210855966477</v>
      </c>
      <c r="S110" s="250">
        <v>0.2490930712362229</v>
      </c>
      <c r="T110" s="250">
        <v>0.28830099088777672</v>
      </c>
      <c r="U110" s="250">
        <v>0.22956064506049104</v>
      </c>
      <c r="V110" s="250">
        <v>0.32030647108246424</v>
      </c>
      <c r="W110" s="250">
        <v>0.26736958961561719</v>
      </c>
      <c r="X110" s="250">
        <v>0.23496665342802148</v>
      </c>
      <c r="Y110" s="250">
        <v>0.2140514266835857</v>
      </c>
      <c r="Z110" s="250">
        <v>0.30489986342550707</v>
      </c>
      <c r="AA110" s="250">
        <v>0.30867859428642946</v>
      </c>
      <c r="AB110" s="250">
        <v>0.1773990665161386</v>
      </c>
      <c r="AC110" s="250">
        <v>0.29004914210327704</v>
      </c>
      <c r="AD110" s="250">
        <v>0.20591769751236103</v>
      </c>
      <c r="AE110" s="250">
        <v>0.2281868706702051</v>
      </c>
      <c r="AF110" s="250">
        <v>0.21911472675368976</v>
      </c>
      <c r="AG110" s="250">
        <v>0.21211965367739455</v>
      </c>
      <c r="AH110" s="250">
        <v>0.2236163151794216</v>
      </c>
      <c r="AI110" s="250">
        <v>0.17678715545444693</v>
      </c>
      <c r="AJ110" s="251">
        <v>0.29137023876586876</v>
      </c>
    </row>
  </sheetData>
  <conditionalFormatting sqref="B72:AC99">
    <cfRule type="colorScale" priority="6">
      <colorScale>
        <cfvo type="num" val="-1"/>
        <cfvo type="num" val="0"/>
        <cfvo type="num" val="1"/>
        <color rgb="FFC00000"/>
        <color theme="0"/>
        <color rgb="FFC00000"/>
      </colorScale>
    </cfRule>
  </conditionalFormatting>
  <conditionalFormatting sqref="B101:AC101">
    <cfRule type="colorScale" priority="5">
      <colorScale>
        <cfvo type="min"/>
        <cfvo type="percentile" val="50"/>
        <cfvo type="max"/>
        <color rgb="FFF8696B"/>
        <color rgb="FFFFEB84"/>
        <color rgb="FF63BE7B"/>
      </colorScale>
    </cfRule>
  </conditionalFormatting>
  <conditionalFormatting sqref="B105:AC105">
    <cfRule type="colorScale" priority="3">
      <colorScale>
        <cfvo type="min"/>
        <cfvo type="max"/>
        <color rgb="FFFCFCFF"/>
        <color rgb="FFF8696B"/>
      </colorScale>
    </cfRule>
    <cfRule type="colorScale" priority="4">
      <colorScale>
        <cfvo type="min"/>
        <cfvo type="percentile" val="50"/>
        <cfvo type="max"/>
        <color rgb="FFF8696B"/>
        <color rgb="FFFFEB84"/>
        <color rgb="FF63BE7B"/>
      </colorScale>
    </cfRule>
  </conditionalFormatting>
  <conditionalFormatting sqref="B72:AJ106">
    <cfRule type="colorScale" priority="2">
      <colorScale>
        <cfvo type="num" val="-1"/>
        <cfvo type="num" val="0"/>
        <cfvo type="num" val="1"/>
        <color rgb="FFC00000"/>
        <color theme="0"/>
        <color rgb="FFC00000"/>
      </colorScale>
    </cfRule>
  </conditionalFormatting>
  <conditionalFormatting sqref="B110:AJ110">
    <cfRule type="colorScale" priority="1">
      <colorScale>
        <cfvo type="min"/>
        <cfvo type="max"/>
        <color rgb="FFFCFCFF"/>
        <color rgb="FFF8696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3BE67-D513-430C-9F0C-04C7C0F1BB29}">
  <dimension ref="A1:BT50"/>
  <sheetViews>
    <sheetView topLeftCell="A55" zoomScale="38" workbookViewId="0">
      <selection activeCell="AT22" sqref="AT22:AT46"/>
    </sheetView>
  </sheetViews>
  <sheetFormatPr defaultRowHeight="15"/>
  <cols>
    <col min="1" max="1" width="11.125" style="119" bestFit="1" customWidth="1"/>
    <col min="2" max="2" width="8.25" style="119" bestFit="1" customWidth="1"/>
    <col min="3" max="13" width="8.625" style="119" bestFit="1" customWidth="1"/>
    <col min="14" max="14" width="9.5" style="119" bestFit="1" customWidth="1"/>
    <col min="15" max="15" width="8.625" style="119" bestFit="1" customWidth="1"/>
    <col min="16" max="16" width="9.875" style="119" bestFit="1" customWidth="1"/>
    <col min="17" max="30" width="8.625" style="119" bestFit="1" customWidth="1"/>
    <col min="31" max="40" width="11" style="119" bestFit="1" customWidth="1"/>
    <col min="41" max="41" width="12" style="119" bestFit="1" customWidth="1"/>
    <col min="42" max="42" width="23" style="119" bestFit="1" customWidth="1"/>
    <col min="43" max="49" width="11" style="119" bestFit="1" customWidth="1"/>
    <col min="50" max="51" width="11.75" style="119" bestFit="1" customWidth="1"/>
    <col min="52" max="55" width="11" style="119" bestFit="1" customWidth="1"/>
    <col min="56" max="56" width="11.75" style="119" bestFit="1" customWidth="1"/>
    <col min="57" max="58" width="11" style="119" bestFit="1" customWidth="1"/>
    <col min="59" max="59" width="11.75" style="119" bestFit="1" customWidth="1"/>
    <col min="60" max="16384" width="9" style="119"/>
  </cols>
  <sheetData>
    <row r="1" spans="1:72" ht="15.75">
      <c r="A1" s="119" t="s">
        <v>16</v>
      </c>
      <c r="B1" s="119" t="s">
        <v>84</v>
      </c>
      <c r="C1" s="120" t="s">
        <v>11</v>
      </c>
      <c r="D1" s="121" t="s">
        <v>85</v>
      </c>
      <c r="E1" s="122" t="s">
        <v>37</v>
      </c>
      <c r="AJ1" s="119" t="s">
        <v>86</v>
      </c>
      <c r="BM1" s="119" t="s">
        <v>87</v>
      </c>
      <c r="BO1" s="123">
        <v>4.2500000000000003E-2</v>
      </c>
      <c r="BP1" s="119" t="s">
        <v>88</v>
      </c>
      <c r="BR1" s="156"/>
      <c r="BS1" s="156"/>
      <c r="BT1" s="156"/>
    </row>
    <row r="2" spans="1:72" ht="15.75">
      <c r="B2" s="120" t="s">
        <v>63</v>
      </c>
      <c r="C2" s="120" t="s">
        <v>10</v>
      </c>
      <c r="D2" s="120" t="s">
        <v>26</v>
      </c>
      <c r="E2" s="121" t="s">
        <v>29</v>
      </c>
      <c r="F2" s="120" t="s">
        <v>89</v>
      </c>
      <c r="G2" s="120" t="s">
        <v>90</v>
      </c>
      <c r="H2" s="120" t="s">
        <v>91</v>
      </c>
      <c r="I2" s="120" t="s">
        <v>92</v>
      </c>
      <c r="J2" s="122" t="s">
        <v>31</v>
      </c>
      <c r="K2" s="121" t="s">
        <v>94</v>
      </c>
      <c r="L2" s="120" t="s">
        <v>46</v>
      </c>
      <c r="M2" s="120" t="s">
        <v>33</v>
      </c>
      <c r="N2" s="120" t="s">
        <v>24</v>
      </c>
      <c r="O2" s="120" t="s">
        <v>39</v>
      </c>
      <c r="P2" s="120" t="s">
        <v>35</v>
      </c>
      <c r="Q2" s="119" t="s">
        <v>96</v>
      </c>
      <c r="R2" s="119" t="s">
        <v>48</v>
      </c>
      <c r="S2" s="119" t="s">
        <v>97</v>
      </c>
      <c r="T2" s="119" t="s">
        <v>51</v>
      </c>
      <c r="U2" s="119" t="s">
        <v>53</v>
      </c>
      <c r="V2" s="119" t="s">
        <v>98</v>
      </c>
      <c r="W2" s="119" t="s">
        <v>68</v>
      </c>
      <c r="X2" s="119" t="s">
        <v>71</v>
      </c>
      <c r="Y2" s="119" t="s">
        <v>99</v>
      </c>
      <c r="Z2" s="119" t="s">
        <v>56</v>
      </c>
      <c r="AA2" s="119" t="s">
        <v>59</v>
      </c>
      <c r="AB2" s="119" t="s">
        <v>101</v>
      </c>
      <c r="AC2" s="119" t="s">
        <v>61</v>
      </c>
      <c r="AD2" s="119" t="s">
        <v>176</v>
      </c>
      <c r="AE2" s="119" t="s">
        <v>177</v>
      </c>
      <c r="AF2" s="119" t="s">
        <v>178</v>
      </c>
      <c r="AG2" s="119" t="s">
        <v>179</v>
      </c>
      <c r="AH2" s="119" t="s">
        <v>180</v>
      </c>
      <c r="AI2" s="119" t="s">
        <v>181</v>
      </c>
      <c r="AJ2" s="119" t="s">
        <v>63</v>
      </c>
      <c r="AK2" s="119" t="s">
        <v>10</v>
      </c>
      <c r="AL2" s="119" t="s">
        <v>26</v>
      </c>
      <c r="AM2" s="119" t="s">
        <v>29</v>
      </c>
      <c r="AN2" s="119" t="s">
        <v>89</v>
      </c>
      <c r="AO2" s="119" t="s">
        <v>90</v>
      </c>
      <c r="AP2" s="119" t="s">
        <v>91</v>
      </c>
      <c r="AQ2" s="119" t="s">
        <v>92</v>
      </c>
      <c r="AR2" s="119" t="s">
        <v>31</v>
      </c>
      <c r="AS2" s="119" t="s">
        <v>102</v>
      </c>
      <c r="AT2" s="119" t="s">
        <v>46</v>
      </c>
      <c r="AU2" s="119" t="s">
        <v>33</v>
      </c>
      <c r="AV2" s="119" t="s">
        <v>24</v>
      </c>
      <c r="AW2" s="119" t="s">
        <v>39</v>
      </c>
      <c r="AX2" s="119" t="s">
        <v>35</v>
      </c>
      <c r="AY2" s="119" t="s">
        <v>96</v>
      </c>
      <c r="AZ2" s="119" t="s">
        <v>48</v>
      </c>
      <c r="BA2" s="119" t="s">
        <v>97</v>
      </c>
      <c r="BB2" s="119" t="s">
        <v>51</v>
      </c>
      <c r="BC2" s="119" t="s">
        <v>53</v>
      </c>
      <c r="BD2" s="119" t="s">
        <v>98</v>
      </c>
      <c r="BE2" s="119" t="s">
        <v>68</v>
      </c>
      <c r="BF2" s="119" t="s">
        <v>71</v>
      </c>
      <c r="BG2" s="119" t="s">
        <v>99</v>
      </c>
      <c r="BH2" s="119" t="s">
        <v>56</v>
      </c>
      <c r="BI2" s="119" t="s">
        <v>59</v>
      </c>
      <c r="BJ2" s="119" t="s">
        <v>101</v>
      </c>
      <c r="BK2" s="119" t="s">
        <v>61</v>
      </c>
      <c r="BL2" s="119" t="s">
        <v>176</v>
      </c>
      <c r="BM2" s="119" t="s">
        <v>177</v>
      </c>
      <c r="BN2" s="119" t="s">
        <v>178</v>
      </c>
      <c r="BO2" s="119" t="s">
        <v>179</v>
      </c>
      <c r="BP2" s="119" t="s">
        <v>180</v>
      </c>
      <c r="BQ2" s="119" t="s">
        <v>181</v>
      </c>
      <c r="BR2" s="156"/>
      <c r="BS2" s="156"/>
      <c r="BT2" s="156"/>
    </row>
    <row r="3" spans="1:72" ht="15.75">
      <c r="A3" s="124">
        <v>45796</v>
      </c>
      <c r="B3" s="119">
        <v>47.93</v>
      </c>
      <c r="C3" s="119">
        <v>546.82000000000005</v>
      </c>
      <c r="D3" s="119">
        <v>173.3</v>
      </c>
      <c r="E3" s="119">
        <v>1752.5</v>
      </c>
      <c r="F3" s="119">
        <v>135.57</v>
      </c>
      <c r="G3" s="119">
        <v>458.87</v>
      </c>
      <c r="H3" s="119">
        <v>152.49</v>
      </c>
      <c r="I3" s="119">
        <v>23</v>
      </c>
      <c r="J3" s="119">
        <v>819.2</v>
      </c>
      <c r="K3" s="119">
        <v>161.9</v>
      </c>
      <c r="L3" s="119">
        <v>166.54</v>
      </c>
      <c r="M3" s="119">
        <v>110.65</v>
      </c>
      <c r="N3" s="125">
        <v>105606.18</v>
      </c>
      <c r="O3" s="125">
        <v>49.13</v>
      </c>
      <c r="P3" s="125">
        <v>32.15</v>
      </c>
      <c r="Q3" s="125">
        <v>206.16</v>
      </c>
      <c r="R3" s="125">
        <v>342.09</v>
      </c>
      <c r="S3" s="125">
        <v>321.32</v>
      </c>
      <c r="T3" s="125">
        <v>84.61</v>
      </c>
      <c r="U3" s="125">
        <v>62.08</v>
      </c>
      <c r="V3" s="125">
        <v>498.6</v>
      </c>
      <c r="W3" s="125">
        <v>44.77</v>
      </c>
      <c r="X3" s="125">
        <v>367.9</v>
      </c>
      <c r="Y3" s="125">
        <v>264.88</v>
      </c>
      <c r="Z3" s="125">
        <v>106.47</v>
      </c>
      <c r="AA3" s="125">
        <v>5.57</v>
      </c>
      <c r="AB3" s="125">
        <v>66.67</v>
      </c>
      <c r="AC3" s="125">
        <v>23.11</v>
      </c>
      <c r="AD3" s="125">
        <v>4652</v>
      </c>
      <c r="AE3" s="125">
        <v>6.94</v>
      </c>
      <c r="AF3" s="125">
        <v>77.150000000000006</v>
      </c>
      <c r="AG3" s="125">
        <v>2132</v>
      </c>
      <c r="AH3" s="125">
        <v>4852</v>
      </c>
      <c r="AI3" s="125">
        <v>378.55</v>
      </c>
      <c r="AJ3" s="126">
        <f t="shared" ref="AJ3:AY6" si="0">(B3-B4)/B4</f>
        <v>6.7721096012474918E-2</v>
      </c>
      <c r="AK3" s="126">
        <f t="shared" si="0"/>
        <v>0.12354887094454386</v>
      </c>
      <c r="AL3" s="126">
        <f t="shared" si="0"/>
        <v>0.27896678966789679</v>
      </c>
      <c r="AM3" s="126">
        <f t="shared" si="0"/>
        <v>2.4228515625</v>
      </c>
      <c r="AN3" s="126">
        <f t="shared" si="0"/>
        <v>0.46593858131487875</v>
      </c>
      <c r="AO3" s="126">
        <f t="shared" si="0"/>
        <v>9.2001618238499866E-2</v>
      </c>
      <c r="AP3" s="126">
        <f t="shared" si="0"/>
        <v>-1.3903259182617547E-2</v>
      </c>
      <c r="AQ3" s="126">
        <f t="shared" si="0"/>
        <v>-0.19692737430167601</v>
      </c>
      <c r="AR3" s="126">
        <f t="shared" si="0"/>
        <v>0.95933987084429562</v>
      </c>
      <c r="AS3" s="126">
        <f t="shared" si="0"/>
        <v>1.8495218922999483E-2</v>
      </c>
      <c r="AT3" s="126">
        <f t="shared" si="0"/>
        <v>-5.4072475292513973E-2</v>
      </c>
      <c r="AU3" s="126">
        <f t="shared" si="0"/>
        <v>-7.6233183856501728E-3</v>
      </c>
      <c r="AV3" s="126">
        <f t="shared" si="0"/>
        <v>0.5933732226667614</v>
      </c>
      <c r="AW3" s="126">
        <f t="shared" si="0"/>
        <v>8.2084957931460225E-3</v>
      </c>
      <c r="AX3" s="126">
        <f t="shared" si="0"/>
        <v>5.826201448321263E-2</v>
      </c>
      <c r="AY3" s="126">
        <f t="shared" si="0"/>
        <v>0.11618841364374667</v>
      </c>
      <c r="AZ3" s="126">
        <f t="shared" ref="AZ3:BO6" si="1">(R3-R4)/R4</f>
        <v>0.92770201735602364</v>
      </c>
      <c r="BA3" s="126">
        <f t="shared" si="1"/>
        <v>0.17967545341067626</v>
      </c>
      <c r="BB3" s="126">
        <f t="shared" si="1"/>
        <v>8.6833654463712343E-2</v>
      </c>
      <c r="BC3" s="126">
        <f t="shared" si="1"/>
        <v>-0.32653504013885881</v>
      </c>
      <c r="BD3" s="126">
        <f t="shared" si="1"/>
        <v>-0.36338100102145049</v>
      </c>
      <c r="BE3" s="126">
        <f t="shared" si="1"/>
        <v>0.13947569356070258</v>
      </c>
      <c r="BF3" s="126">
        <f t="shared" si="1"/>
        <v>0.3134594787575864</v>
      </c>
      <c r="BG3" s="126">
        <f t="shared" si="1"/>
        <v>0.29342253039699207</v>
      </c>
      <c r="BH3" s="126">
        <f t="shared" si="1"/>
        <v>-0.11008024072216652</v>
      </c>
      <c r="BI3" s="126">
        <f t="shared" si="1"/>
        <v>0.38213399503722084</v>
      </c>
      <c r="BJ3" s="126">
        <f t="shared" si="1"/>
        <v>-7.2997775305895435E-2</v>
      </c>
      <c r="BK3" s="126">
        <f t="shared" si="1"/>
        <v>-0.18940722553490011</v>
      </c>
      <c r="BL3" s="126">
        <f t="shared" si="1"/>
        <v>7.7849860982391106E-2</v>
      </c>
      <c r="BM3" s="126">
        <f t="shared" si="1"/>
        <v>0.4279835390946502</v>
      </c>
      <c r="BN3" s="126">
        <f t="shared" si="1"/>
        <v>6.6934034020190894E-2</v>
      </c>
      <c r="BO3" s="126">
        <f t="shared" si="1"/>
        <v>-0.23870737368327086</v>
      </c>
      <c r="BP3" s="126">
        <f t="shared" ref="BL3:BQ6" si="2">(AH3-AH4)/AH4</f>
        <v>5.6390158937513604E-2</v>
      </c>
      <c r="BQ3" s="126">
        <f t="shared" si="2"/>
        <v>-0.15426720285969617</v>
      </c>
      <c r="BR3" s="156"/>
      <c r="BS3" s="156"/>
      <c r="BT3" s="156"/>
    </row>
    <row r="4" spans="1:72" ht="15.75">
      <c r="A4" s="124">
        <v>45431</v>
      </c>
      <c r="B4" s="119">
        <v>44.89</v>
      </c>
      <c r="C4" s="119">
        <v>486.69</v>
      </c>
      <c r="D4" s="119">
        <v>135.5</v>
      </c>
      <c r="E4" s="119">
        <v>512</v>
      </c>
      <c r="F4" s="119">
        <v>92.48</v>
      </c>
      <c r="G4" s="119">
        <v>420.21</v>
      </c>
      <c r="H4" s="119">
        <v>154.63999999999999</v>
      </c>
      <c r="I4" s="119">
        <v>28.64</v>
      </c>
      <c r="J4" s="119">
        <v>418.1</v>
      </c>
      <c r="K4" s="119">
        <v>158.96</v>
      </c>
      <c r="L4" s="119">
        <v>176.06</v>
      </c>
      <c r="M4" s="119">
        <v>111.5</v>
      </c>
      <c r="N4" s="119">
        <v>66278.37</v>
      </c>
      <c r="O4" s="119">
        <v>48.73</v>
      </c>
      <c r="P4" s="119">
        <v>30.38</v>
      </c>
      <c r="Q4" s="119">
        <v>184.7</v>
      </c>
      <c r="R4" s="119">
        <v>177.46</v>
      </c>
      <c r="S4" s="119">
        <v>272.38</v>
      </c>
      <c r="T4" s="119">
        <v>77.849999999999994</v>
      </c>
      <c r="U4" s="119">
        <v>92.18</v>
      </c>
      <c r="V4" s="119">
        <v>783.2</v>
      </c>
      <c r="W4" s="119">
        <v>39.29</v>
      </c>
      <c r="X4" s="119">
        <v>280.10000000000002</v>
      </c>
      <c r="Y4" s="119">
        <v>204.79</v>
      </c>
      <c r="Z4" s="119">
        <v>119.64</v>
      </c>
      <c r="AA4" s="119">
        <v>4.03</v>
      </c>
      <c r="AB4" s="119">
        <v>71.92</v>
      </c>
      <c r="AC4" s="119">
        <v>28.51</v>
      </c>
      <c r="AD4" s="119">
        <v>4316</v>
      </c>
      <c r="AE4" s="119">
        <v>4.8600000000000003</v>
      </c>
      <c r="AF4" s="119">
        <v>72.31</v>
      </c>
      <c r="AG4" s="119">
        <v>2800.5</v>
      </c>
      <c r="AH4" s="119">
        <v>4593</v>
      </c>
      <c r="AI4" s="119">
        <v>447.6</v>
      </c>
      <c r="AJ4" s="126">
        <f t="shared" si="0"/>
        <v>0.12534469791927802</v>
      </c>
      <c r="AK4" s="126">
        <f t="shared" si="0"/>
        <v>0.2655433341134254</v>
      </c>
      <c r="AL4" s="126">
        <f t="shared" si="0"/>
        <v>0.20369547836901492</v>
      </c>
      <c r="AM4" s="126">
        <f t="shared" si="0"/>
        <v>0.95718654434250749</v>
      </c>
      <c r="AN4" s="126">
        <f t="shared" si="0"/>
        <v>1.9584133077415227</v>
      </c>
      <c r="AO4" s="126">
        <f t="shared" si="0"/>
        <v>0.32000376955456433</v>
      </c>
      <c r="AP4" s="126">
        <f t="shared" si="0"/>
        <v>-2.6870555660436789E-2</v>
      </c>
      <c r="AQ4" s="126">
        <f t="shared" si="0"/>
        <v>-0.22110416100081592</v>
      </c>
      <c r="AR4" s="126">
        <f t="shared" si="0"/>
        <v>1.6801282051282054</v>
      </c>
      <c r="AS4" s="126">
        <f t="shared" si="0"/>
        <v>0.22995976477870625</v>
      </c>
      <c r="AT4" s="126">
        <f t="shared" si="0"/>
        <v>0.4341805148256761</v>
      </c>
      <c r="AU4" s="126">
        <f t="shared" si="0"/>
        <v>-9.3937916463513751E-2</v>
      </c>
      <c r="AV4" s="126">
        <f t="shared" si="0"/>
        <v>1.4647842907416211</v>
      </c>
      <c r="AW4" s="126">
        <f t="shared" si="0"/>
        <v>3.2942145357215688E-3</v>
      </c>
      <c r="AX4" s="126">
        <f t="shared" si="0"/>
        <v>-3.8607594936708935E-2</v>
      </c>
      <c r="AY4" s="126">
        <f t="shared" si="0"/>
        <v>0.5888172043010752</v>
      </c>
      <c r="AZ4" s="126">
        <f t="shared" si="1"/>
        <v>-1.4877317641834011E-2</v>
      </c>
      <c r="BA4" s="126">
        <f t="shared" si="1"/>
        <v>-7.8396210455083798E-2</v>
      </c>
      <c r="BB4" s="126">
        <f t="shared" si="1"/>
        <v>-0.26215524594825146</v>
      </c>
      <c r="BC4" s="126">
        <f t="shared" si="1"/>
        <v>-0.19675845242244683</v>
      </c>
      <c r="BD4" s="126">
        <f t="shared" si="1"/>
        <v>-0.1041976438293491</v>
      </c>
      <c r="BE4" s="126">
        <f t="shared" si="1"/>
        <v>0.39772323016720029</v>
      </c>
      <c r="BF4" s="126">
        <f t="shared" si="1"/>
        <v>0.20054862629120063</v>
      </c>
      <c r="BG4" s="126">
        <f t="shared" si="1"/>
        <v>0.47140393734731989</v>
      </c>
      <c r="BH4" s="126">
        <f t="shared" si="1"/>
        <v>0.12591756070016935</v>
      </c>
      <c r="BI4" s="126">
        <f t="shared" si="1"/>
        <v>0.13521126760563393</v>
      </c>
      <c r="BJ4" s="126">
        <f t="shared" si="1"/>
        <v>0.19033432638199271</v>
      </c>
      <c r="BK4" s="126">
        <f t="shared" si="1"/>
        <v>3.2223026792179602E-2</v>
      </c>
      <c r="BL4" s="126">
        <f t="shared" si="2"/>
        <v>1.0536174198080075E-2</v>
      </c>
      <c r="BM4" s="126">
        <f t="shared" si="2"/>
        <v>0.51875000000000004</v>
      </c>
      <c r="BN4" s="126">
        <f t="shared" si="2"/>
        <v>0.20818713450292398</v>
      </c>
      <c r="BO4" s="126">
        <f t="shared" si="2"/>
        <v>-0.21068207440811726</v>
      </c>
      <c r="BP4" s="126">
        <f t="shared" si="2"/>
        <v>-0.29360196862503846</v>
      </c>
      <c r="BQ4" s="126">
        <f t="shared" si="2"/>
        <v>6.1669829222011384E-2</v>
      </c>
      <c r="BR4" s="156"/>
      <c r="BS4" s="156"/>
      <c r="BT4" s="156"/>
    </row>
    <row r="5" spans="1:72" ht="15.75">
      <c r="A5" s="124">
        <v>45065</v>
      </c>
      <c r="B5" s="119">
        <v>39.89</v>
      </c>
      <c r="C5" s="119">
        <v>384.57</v>
      </c>
      <c r="D5" s="119">
        <v>112.57</v>
      </c>
      <c r="E5" s="119">
        <v>261.60000000000002</v>
      </c>
      <c r="F5" s="119">
        <v>31.26</v>
      </c>
      <c r="G5" s="119">
        <v>318.33999999999997</v>
      </c>
      <c r="H5" s="119">
        <v>158.91</v>
      </c>
      <c r="I5" s="119">
        <v>36.770000000000003</v>
      </c>
      <c r="J5" s="119">
        <v>156</v>
      </c>
      <c r="K5" s="119">
        <v>129.24</v>
      </c>
      <c r="L5" s="119">
        <v>122.76</v>
      </c>
      <c r="M5" s="119">
        <v>123.06</v>
      </c>
      <c r="N5" s="119">
        <v>26890.13</v>
      </c>
      <c r="O5" s="119">
        <v>48.57</v>
      </c>
      <c r="P5" s="119">
        <v>31.6</v>
      </c>
      <c r="Q5" s="119">
        <v>116.25</v>
      </c>
      <c r="R5" s="119">
        <v>180.14</v>
      </c>
      <c r="S5" s="119">
        <v>295.55</v>
      </c>
      <c r="T5" s="119">
        <v>105.51</v>
      </c>
      <c r="U5" s="119">
        <v>114.76</v>
      </c>
      <c r="V5" s="119">
        <v>874.3</v>
      </c>
      <c r="W5" s="119">
        <v>28.11</v>
      </c>
      <c r="X5" s="119">
        <v>233.31</v>
      </c>
      <c r="Y5" s="119">
        <v>139.18</v>
      </c>
      <c r="Z5" s="119">
        <v>106.26</v>
      </c>
      <c r="AA5" s="119">
        <v>3.55</v>
      </c>
      <c r="AB5" s="119">
        <v>60.42</v>
      </c>
      <c r="AC5" s="119">
        <v>27.62</v>
      </c>
      <c r="AD5" s="119">
        <v>4271</v>
      </c>
      <c r="AE5" s="119">
        <v>3.2</v>
      </c>
      <c r="AF5" s="119">
        <v>59.85</v>
      </c>
      <c r="AG5" s="119">
        <v>3548</v>
      </c>
      <c r="AH5" s="119">
        <v>6502</v>
      </c>
      <c r="AI5" s="119">
        <v>421.6</v>
      </c>
      <c r="AJ5" s="126">
        <f t="shared" si="0"/>
        <v>-5.0690147548786348E-2</v>
      </c>
      <c r="AK5" s="126">
        <f t="shared" si="0"/>
        <v>7.4427960774453072E-2</v>
      </c>
      <c r="AL5" s="126">
        <f t="shared" si="0"/>
        <v>0.15848512915508892</v>
      </c>
      <c r="AM5" s="126">
        <f t="shared" si="0"/>
        <v>0.37394957983193283</v>
      </c>
      <c r="AN5" s="126">
        <f t="shared" si="0"/>
        <v>0.8259345794392523</v>
      </c>
      <c r="AO5" s="126">
        <f t="shared" si="0"/>
        <v>0.2575649838034289</v>
      </c>
      <c r="AP5" s="126">
        <f t="shared" si="0"/>
        <v>-8.6409106588478793E-2</v>
      </c>
      <c r="AQ5" s="126">
        <f t="shared" si="0"/>
        <v>-0.27403751233958529</v>
      </c>
      <c r="AR5" s="126">
        <f t="shared" si="0"/>
        <v>0.87883897386486809</v>
      </c>
      <c r="AS5" s="126">
        <f t="shared" si="0"/>
        <v>0.21466165413533836</v>
      </c>
      <c r="AT5" s="126">
        <f t="shared" si="0"/>
        <v>0.11215799963761561</v>
      </c>
      <c r="AU5" s="126">
        <f t="shared" si="0"/>
        <v>2.7898429669228227E-2</v>
      </c>
      <c r="AV5" s="126">
        <f t="shared" si="0"/>
        <v>-0.11295647965830023</v>
      </c>
      <c r="AW5" s="126">
        <f t="shared" si="0"/>
        <v>-4.2011834319526674E-2</v>
      </c>
      <c r="AX5" s="126">
        <f t="shared" si="0"/>
        <v>7.8866507340389289E-2</v>
      </c>
      <c r="AY5" s="126">
        <f t="shared" si="0"/>
        <v>8.3209094297428315E-2</v>
      </c>
      <c r="AZ5" s="126">
        <f t="shared" si="1"/>
        <v>-0.23821203535332183</v>
      </c>
      <c r="BA5" s="126">
        <f t="shared" si="1"/>
        <v>0.29061135371179042</v>
      </c>
      <c r="BB5" s="126">
        <f t="shared" si="1"/>
        <v>0.46684276379813699</v>
      </c>
      <c r="BC5" s="126">
        <f t="shared" si="1"/>
        <v>7.8166102968808784E-2</v>
      </c>
      <c r="BD5" s="126">
        <f t="shared" si="1"/>
        <v>0.53790677220756367</v>
      </c>
      <c r="BE5" s="126">
        <f t="shared" si="1"/>
        <v>-0.18403483309143695</v>
      </c>
      <c r="BF5" s="126">
        <f t="shared" si="1"/>
        <v>0.18209454324365404</v>
      </c>
      <c r="BG5" s="126">
        <f t="shared" si="1"/>
        <v>0.17640098047502328</v>
      </c>
      <c r="BH5" s="126">
        <f t="shared" si="1"/>
        <v>0.1658986175115208</v>
      </c>
      <c r="BI5" s="126">
        <f t="shared" si="1"/>
        <v>-0.23491379310344826</v>
      </c>
      <c r="BJ5" s="126">
        <f t="shared" si="1"/>
        <v>3.1938514090521002E-2</v>
      </c>
      <c r="BK5" s="126">
        <f t="shared" si="1"/>
        <v>-0.19522144522144519</v>
      </c>
      <c r="BL5" s="126">
        <f t="shared" si="2"/>
        <v>0.23743300014486454</v>
      </c>
      <c r="BM5" s="126">
        <f t="shared" si="2"/>
        <v>0.16788321167883208</v>
      </c>
      <c r="BN5" s="126">
        <f t="shared" si="2"/>
        <v>0.1252115059221659</v>
      </c>
      <c r="BO5" s="126">
        <f t="shared" si="2"/>
        <v>-6.1624649859943975E-3</v>
      </c>
      <c r="BP5" s="126">
        <f t="shared" si="2"/>
        <v>5.7235772357723577E-2</v>
      </c>
      <c r="BQ5" s="126">
        <f t="shared" si="2"/>
        <v>0.36594848533938135</v>
      </c>
      <c r="BR5" s="156"/>
      <c r="BS5" s="156"/>
      <c r="BT5" s="156"/>
    </row>
    <row r="6" spans="1:72" ht="15.75">
      <c r="A6" s="124">
        <v>44700</v>
      </c>
      <c r="B6" s="119">
        <v>42.02</v>
      </c>
      <c r="C6" s="119">
        <v>357.93</v>
      </c>
      <c r="D6" s="119">
        <v>97.17</v>
      </c>
      <c r="E6" s="119">
        <v>190.4</v>
      </c>
      <c r="F6" s="119">
        <v>17.12</v>
      </c>
      <c r="G6" s="119">
        <v>253.14</v>
      </c>
      <c r="H6" s="119">
        <v>173.94</v>
      </c>
      <c r="I6" s="119">
        <v>50.65</v>
      </c>
      <c r="J6" s="119">
        <v>83.03</v>
      </c>
      <c r="K6" s="119">
        <v>106.4</v>
      </c>
      <c r="L6" s="119">
        <v>110.38</v>
      </c>
      <c r="M6" s="119">
        <v>119.72</v>
      </c>
      <c r="N6" s="119">
        <v>30314.33</v>
      </c>
      <c r="O6" s="119">
        <v>50.7</v>
      </c>
      <c r="P6" s="119">
        <v>29.29</v>
      </c>
      <c r="Q6" s="119">
        <v>107.32</v>
      </c>
      <c r="R6" s="119">
        <v>236.47</v>
      </c>
      <c r="S6" s="119">
        <v>229</v>
      </c>
      <c r="T6" s="119">
        <v>71.930000000000007</v>
      </c>
      <c r="U6" s="119">
        <v>106.44</v>
      </c>
      <c r="V6" s="119">
        <v>568.5</v>
      </c>
      <c r="W6" s="119">
        <v>34.450000000000003</v>
      </c>
      <c r="X6" s="119">
        <v>197.37</v>
      </c>
      <c r="Y6" s="119">
        <v>118.31</v>
      </c>
      <c r="Z6" s="119">
        <v>91.14</v>
      </c>
      <c r="AA6" s="119">
        <v>4.6399999999999997</v>
      </c>
      <c r="AB6" s="119">
        <v>58.55</v>
      </c>
      <c r="AC6" s="119">
        <v>34.32</v>
      </c>
      <c r="AD6" s="119">
        <v>3451.5</v>
      </c>
      <c r="AE6" s="119">
        <v>2.74</v>
      </c>
      <c r="AF6" s="119">
        <v>53.19</v>
      </c>
      <c r="AG6" s="119">
        <v>3570</v>
      </c>
      <c r="AH6" s="119">
        <v>6150</v>
      </c>
      <c r="AI6" s="119">
        <v>308.64999999999998</v>
      </c>
      <c r="AJ6" s="126">
        <f t="shared" si="0"/>
        <v>-0.19870327993897779</v>
      </c>
      <c r="AK6" s="126">
        <f t="shared" si="0"/>
        <v>-5.2418394091017423E-2</v>
      </c>
      <c r="AL6" s="126">
        <f t="shared" si="0"/>
        <v>-6.7018722995679347E-2</v>
      </c>
      <c r="AM6" s="126">
        <f t="shared" si="0"/>
        <v>1.3129251700680276</v>
      </c>
      <c r="AN6" s="126">
        <f t="shared" si="0"/>
        <v>0.21677327647476904</v>
      </c>
      <c r="AO6" s="126">
        <f t="shared" si="0"/>
        <v>4.1214215202369127E-2</v>
      </c>
      <c r="AP6" s="126">
        <f t="shared" si="0"/>
        <v>2.2695202257760966E-2</v>
      </c>
      <c r="AQ6" s="126">
        <f t="shared" si="0"/>
        <v>0.27165453175997994</v>
      </c>
      <c r="AR6" s="126">
        <f t="shared" si="0"/>
        <v>-0.19669117647058823</v>
      </c>
      <c r="AS6" s="126">
        <f t="shared" si="0"/>
        <v>0.11929307805596469</v>
      </c>
      <c r="AT6" s="126">
        <f t="shared" si="0"/>
        <v>-2.8088403627718569E-2</v>
      </c>
      <c r="AU6" s="126">
        <f t="shared" si="0"/>
        <v>3.788469874295626E-2</v>
      </c>
      <c r="AV6" s="126">
        <f t="shared" si="0"/>
        <v>-0.1807478101444121</v>
      </c>
      <c r="AW6" s="126">
        <f t="shared" si="0"/>
        <v>-0.10376524659713625</v>
      </c>
      <c r="AX6" s="126">
        <f t="shared" si="0"/>
        <v>-4.5306388526727526E-2</v>
      </c>
      <c r="AY6" s="126">
        <f t="shared" si="0"/>
        <v>-0.33584999071724742</v>
      </c>
      <c r="AZ6" s="126">
        <f t="shared" si="1"/>
        <v>0.25902459801938027</v>
      </c>
      <c r="BA6" s="126">
        <f t="shared" si="1"/>
        <v>-4.9967412557028268E-3</v>
      </c>
      <c r="BB6" s="126">
        <f t="shared" si="1"/>
        <v>-0.34412327892769212</v>
      </c>
      <c r="BC6" s="126">
        <f t="shared" si="1"/>
        <v>-0.19945848375451269</v>
      </c>
      <c r="BD6" s="126">
        <f t="shared" si="1"/>
        <v>-8.1731545792279148E-2</v>
      </c>
      <c r="BE6" s="126">
        <f t="shared" si="1"/>
        <v>-0.17917560162020482</v>
      </c>
      <c r="BF6" s="126">
        <f t="shared" si="1"/>
        <v>-0.12119862861213766</v>
      </c>
      <c r="BG6" s="126">
        <f t="shared" si="1"/>
        <v>-0.26565700453106578</v>
      </c>
      <c r="BH6" s="126">
        <f t="shared" si="1"/>
        <v>0.54526958290946093</v>
      </c>
      <c r="BI6" s="126">
        <f t="shared" si="1"/>
        <v>-0.41041931385006358</v>
      </c>
      <c r="BJ6" s="126">
        <f t="shared" si="1"/>
        <v>0.49058044806517298</v>
      </c>
      <c r="BK6" s="126">
        <f t="shared" si="1"/>
        <v>0.60598970519419737</v>
      </c>
      <c r="BL6" s="126">
        <f t="shared" si="2"/>
        <v>-0.19385729300478804</v>
      </c>
      <c r="BM6" s="126">
        <f t="shared" si="2"/>
        <v>-0.1671732522796352</v>
      </c>
      <c r="BN6" s="126">
        <f t="shared" si="2"/>
        <v>-4.9159814086521272E-2</v>
      </c>
      <c r="BO6" s="126">
        <f t="shared" si="2"/>
        <v>6.6626829997012249E-2</v>
      </c>
      <c r="BP6" s="126">
        <f t="shared" si="2"/>
        <v>-3.0580075662042874E-2</v>
      </c>
      <c r="BQ6" s="126">
        <f t="shared" si="2"/>
        <v>-0.11852063401399401</v>
      </c>
      <c r="BR6" s="156"/>
      <c r="BS6" s="156"/>
      <c r="BT6" s="156"/>
    </row>
    <row r="7" spans="1:72" ht="15.75">
      <c r="A7" s="124">
        <v>44335</v>
      </c>
      <c r="B7" s="119">
        <v>52.44</v>
      </c>
      <c r="C7" s="119">
        <v>377.73</v>
      </c>
      <c r="D7" s="119">
        <v>104.15</v>
      </c>
      <c r="E7" s="119">
        <v>82.32</v>
      </c>
      <c r="F7" s="119">
        <v>14.07</v>
      </c>
      <c r="G7" s="119">
        <v>243.12</v>
      </c>
      <c r="H7" s="119">
        <v>170.08</v>
      </c>
      <c r="I7" s="119">
        <v>39.83</v>
      </c>
      <c r="J7" s="119">
        <v>103.36</v>
      </c>
      <c r="K7" s="119">
        <v>95.06</v>
      </c>
      <c r="L7" s="119">
        <v>113.57</v>
      </c>
      <c r="M7" s="119">
        <v>115.35</v>
      </c>
      <c r="N7" s="119">
        <v>37002.44</v>
      </c>
      <c r="O7" s="119">
        <v>56.57</v>
      </c>
      <c r="P7" s="119">
        <v>30.68</v>
      </c>
      <c r="Q7" s="119">
        <v>161.59</v>
      </c>
      <c r="R7" s="119">
        <v>187.82</v>
      </c>
      <c r="S7" s="119">
        <v>230.15</v>
      </c>
      <c r="T7" s="119">
        <v>109.67</v>
      </c>
      <c r="U7" s="119">
        <v>132.96</v>
      </c>
      <c r="V7" s="119">
        <v>619.1</v>
      </c>
      <c r="W7" s="119">
        <v>41.97</v>
      </c>
      <c r="X7" s="119">
        <v>224.59</v>
      </c>
      <c r="Y7" s="119">
        <v>161.11000000000001</v>
      </c>
      <c r="Z7" s="119">
        <v>58.98</v>
      </c>
      <c r="AA7" s="119">
        <v>7.87</v>
      </c>
      <c r="AB7" s="119">
        <v>39.28</v>
      </c>
      <c r="AC7" s="119">
        <v>21.37</v>
      </c>
      <c r="AD7" s="119">
        <v>4281.5</v>
      </c>
      <c r="AE7" s="119">
        <v>3.29</v>
      </c>
      <c r="AF7" s="119">
        <v>55.94</v>
      </c>
      <c r="AG7" s="119">
        <v>3347</v>
      </c>
      <c r="AH7" s="119">
        <v>6344</v>
      </c>
      <c r="AI7" s="119">
        <v>350.15</v>
      </c>
      <c r="AJ7" s="126"/>
      <c r="AK7" s="126"/>
      <c r="AL7" s="126"/>
      <c r="AM7" s="126"/>
      <c r="AN7" s="126"/>
      <c r="AO7" s="126"/>
      <c r="AP7" s="126"/>
      <c r="AQ7" s="126"/>
      <c r="AR7" s="126"/>
      <c r="AS7" s="126"/>
      <c r="AT7" s="126"/>
      <c r="AU7" s="126"/>
      <c r="AV7" s="126"/>
      <c r="AW7" s="126"/>
      <c r="AX7" s="126"/>
      <c r="AY7" s="126"/>
      <c r="AZ7" s="126"/>
      <c r="BA7" s="126"/>
      <c r="BB7" s="126"/>
      <c r="BC7" s="126"/>
      <c r="BD7" s="126"/>
      <c r="BE7" s="126"/>
      <c r="BF7" s="126"/>
      <c r="BG7" s="126"/>
      <c r="BH7" s="126"/>
      <c r="BI7" s="126"/>
      <c r="BJ7" s="126"/>
      <c r="BK7" s="126"/>
      <c r="BR7" s="156"/>
      <c r="BS7" s="156"/>
      <c r="BT7" s="156"/>
    </row>
    <row r="8" spans="1:72" ht="15.75">
      <c r="BR8" s="156"/>
      <c r="BS8" s="156"/>
      <c r="BT8" s="156"/>
    </row>
    <row r="9" spans="1:72" ht="15.75">
      <c r="A9" s="119" t="s">
        <v>103</v>
      </c>
      <c r="B9" s="125">
        <f t="shared" ref="B9:BM9" si="3">AVERAGE(B3:B7)</f>
        <v>45.433999999999997</v>
      </c>
      <c r="C9" s="125">
        <f t="shared" si="3"/>
        <v>430.74799999999993</v>
      </c>
      <c r="D9" s="125">
        <f t="shared" si="3"/>
        <v>124.53799999999998</v>
      </c>
      <c r="E9" s="125">
        <f t="shared" si="3"/>
        <v>559.76400000000001</v>
      </c>
      <c r="F9" s="125">
        <f t="shared" si="3"/>
        <v>58.1</v>
      </c>
      <c r="G9" s="125">
        <f t="shared" si="3"/>
        <v>338.73599999999999</v>
      </c>
      <c r="H9" s="125">
        <f t="shared" si="3"/>
        <v>162.012</v>
      </c>
      <c r="I9" s="125">
        <f t="shared" si="3"/>
        <v>35.777999999999999</v>
      </c>
      <c r="J9" s="125">
        <f t="shared" si="3"/>
        <v>315.93799999999999</v>
      </c>
      <c r="K9" s="125">
        <f t="shared" si="3"/>
        <v>130.31199999999998</v>
      </c>
      <c r="L9" s="125">
        <f t="shared" si="3"/>
        <v>137.86199999999999</v>
      </c>
      <c r="M9" s="125">
        <f t="shared" si="3"/>
        <v>116.05600000000001</v>
      </c>
      <c r="N9" s="125">
        <f t="shared" si="3"/>
        <v>53218.29</v>
      </c>
      <c r="O9" s="125">
        <f t="shared" si="3"/>
        <v>50.739999999999995</v>
      </c>
      <c r="P9" s="125">
        <f t="shared" si="3"/>
        <v>30.82</v>
      </c>
      <c r="Q9" s="125">
        <f t="shared" si="3"/>
        <v>155.20400000000001</v>
      </c>
      <c r="R9" s="125">
        <f t="shared" si="3"/>
        <v>224.79599999999999</v>
      </c>
      <c r="S9" s="125">
        <f t="shared" si="3"/>
        <v>269.68</v>
      </c>
      <c r="T9" s="125">
        <f t="shared" si="3"/>
        <v>89.914000000000001</v>
      </c>
      <c r="U9" s="125">
        <f t="shared" si="3"/>
        <v>101.684</v>
      </c>
      <c r="V9" s="125">
        <f t="shared" si="3"/>
        <v>668.74</v>
      </c>
      <c r="W9" s="125">
        <f t="shared" si="3"/>
        <v>37.718000000000004</v>
      </c>
      <c r="X9" s="125">
        <f t="shared" si="3"/>
        <v>260.65399999999994</v>
      </c>
      <c r="Y9" s="125">
        <f t="shared" si="3"/>
        <v>177.65399999999997</v>
      </c>
      <c r="Z9" s="125">
        <f t="shared" si="3"/>
        <v>96.498000000000005</v>
      </c>
      <c r="AA9" s="125">
        <f t="shared" si="3"/>
        <v>5.1320000000000006</v>
      </c>
      <c r="AB9" s="125">
        <f t="shared" si="3"/>
        <v>59.368000000000009</v>
      </c>
      <c r="AC9" s="125">
        <f t="shared" si="3"/>
        <v>26.986000000000001</v>
      </c>
      <c r="AD9" s="125">
        <f t="shared" si="3"/>
        <v>4194.3999999999996</v>
      </c>
      <c r="AE9" s="125">
        <f t="shared" si="3"/>
        <v>4.2060000000000004</v>
      </c>
      <c r="AF9" s="125">
        <f t="shared" si="3"/>
        <v>63.688000000000002</v>
      </c>
      <c r="AG9" s="125">
        <f t="shared" si="3"/>
        <v>3079.5</v>
      </c>
      <c r="AH9" s="125">
        <f t="shared" si="3"/>
        <v>5688.2</v>
      </c>
      <c r="AI9" s="125">
        <f t="shared" si="3"/>
        <v>381.31000000000006</v>
      </c>
      <c r="AJ9" s="126">
        <f t="shared" si="3"/>
        <v>-1.4081908389002799E-2</v>
      </c>
      <c r="AK9" s="126">
        <f t="shared" si="3"/>
        <v>0.10277544293535124</v>
      </c>
      <c r="AL9" s="126">
        <f t="shared" si="3"/>
        <v>0.14353216854908032</v>
      </c>
      <c r="AM9" s="126">
        <f t="shared" si="3"/>
        <v>1.2667282141856169</v>
      </c>
      <c r="AN9" s="126">
        <f t="shared" si="3"/>
        <v>0.86676493624260575</v>
      </c>
      <c r="AO9" s="126">
        <f t="shared" si="3"/>
        <v>0.17769614669971556</v>
      </c>
      <c r="AP9" s="126">
        <f t="shared" si="3"/>
        <v>-2.6121929793443046E-2</v>
      </c>
      <c r="AQ9" s="126">
        <f t="shared" si="3"/>
        <v>-0.10510362897052432</v>
      </c>
      <c r="AR9" s="126">
        <f t="shared" si="3"/>
        <v>0.83040396834169516</v>
      </c>
      <c r="AS9" s="126">
        <f t="shared" si="3"/>
        <v>0.14560242897325221</v>
      </c>
      <c r="AT9" s="126">
        <f t="shared" si="3"/>
        <v>0.11604440888576478</v>
      </c>
      <c r="AU9" s="126">
        <f t="shared" si="3"/>
        <v>-8.9445266092448572E-3</v>
      </c>
      <c r="AV9" s="126">
        <f t="shared" si="3"/>
        <v>0.44111330590141751</v>
      </c>
      <c r="AW9" s="126">
        <f t="shared" si="3"/>
        <v>-3.3568592646948836E-2</v>
      </c>
      <c r="AX9" s="126">
        <f t="shared" si="3"/>
        <v>1.3303634590041365E-2</v>
      </c>
      <c r="AY9" s="126">
        <f t="shared" si="3"/>
        <v>0.11309118038125068</v>
      </c>
      <c r="AZ9" s="126">
        <f t="shared" si="3"/>
        <v>0.23340931559506203</v>
      </c>
      <c r="BA9" s="126">
        <f t="shared" si="3"/>
        <v>9.6723463852920022E-2</v>
      </c>
      <c r="BB9" s="126">
        <f t="shared" si="3"/>
        <v>-1.3150526653523564E-2</v>
      </c>
      <c r="BC9" s="126">
        <f t="shared" si="3"/>
        <v>-0.16114646833675239</v>
      </c>
      <c r="BD9" s="126">
        <f t="shared" si="3"/>
        <v>-2.8508546088787667E-3</v>
      </c>
      <c r="BE9" s="126">
        <f t="shared" si="3"/>
        <v>4.3497122254065275E-2</v>
      </c>
      <c r="BF9" s="126">
        <f t="shared" si="3"/>
        <v>0.14372600492007584</v>
      </c>
      <c r="BG9" s="126">
        <f t="shared" si="3"/>
        <v>0.16889261092206737</v>
      </c>
      <c r="BH9" s="126">
        <f t="shared" si="3"/>
        <v>0.18175138009974615</v>
      </c>
      <c r="BI9" s="126">
        <f t="shared" si="3"/>
        <v>-3.1996961077664282E-2</v>
      </c>
      <c r="BJ9" s="126">
        <f t="shared" si="3"/>
        <v>0.15996387830794781</v>
      </c>
      <c r="BK9" s="126">
        <f t="shared" si="3"/>
        <v>6.3396015307507922E-2</v>
      </c>
      <c r="BL9" s="126">
        <f t="shared" si="3"/>
        <v>3.2990435580136923E-2</v>
      </c>
      <c r="BM9" s="126">
        <f t="shared" si="3"/>
        <v>0.23686087462346178</v>
      </c>
      <c r="BN9" s="126">
        <f t="shared" ref="BN9:BQ9" si="4">AVERAGE(BN3:BN7)</f>
        <v>8.7793215089689874E-2</v>
      </c>
      <c r="BO9" s="126">
        <f t="shared" si="4"/>
        <v>-9.7231270770092568E-2</v>
      </c>
      <c r="BP9" s="126">
        <f t="shared" si="4"/>
        <v>-5.2639028247961038E-2</v>
      </c>
      <c r="BQ9" s="126">
        <f t="shared" si="4"/>
        <v>3.8707619421925639E-2</v>
      </c>
      <c r="BR9" s="156"/>
      <c r="BS9" s="156"/>
      <c r="BT9" s="156"/>
    </row>
    <row r="10" spans="1:72" ht="15.75">
      <c r="BR10" s="156"/>
      <c r="BS10" s="156"/>
      <c r="BT10" s="156"/>
    </row>
    <row r="11" spans="1:72" ht="15.75">
      <c r="AJ11" s="127">
        <f>D15*SUMPRODUCT($C$16:$C$49,D16:D49)</f>
        <v>5.0489366746065182E-4</v>
      </c>
      <c r="AK11" s="127">
        <f t="shared" ref="AK11:BP11" si="5">E15*SUMPRODUCT($C$16:$C$49,E16:E49)</f>
        <v>2.8244821298361649E-3</v>
      </c>
      <c r="AL11" s="127">
        <f t="shared" si="5"/>
        <v>3.1313942642158011E-4</v>
      </c>
      <c r="AM11" s="127">
        <f t="shared" si="5"/>
        <v>1.6600847853637283E-3</v>
      </c>
      <c r="AN11" s="127">
        <f t="shared" si="5"/>
        <v>0</v>
      </c>
      <c r="AO11" s="127">
        <f t="shared" si="5"/>
        <v>0</v>
      </c>
      <c r="AP11" s="127">
        <f t="shared" si="5"/>
        <v>0</v>
      </c>
      <c r="AQ11" s="127">
        <f t="shared" si="5"/>
        <v>0</v>
      </c>
      <c r="AR11" s="127">
        <f t="shared" si="5"/>
        <v>4.2447139605176773E-3</v>
      </c>
      <c r="AS11" s="127">
        <f t="shared" si="5"/>
        <v>0</v>
      </c>
      <c r="AT11" s="127">
        <f t="shared" si="5"/>
        <v>2.9566699299564674E-4</v>
      </c>
      <c r="AU11" s="127">
        <f t="shared" si="5"/>
        <v>-1.8680688656207178E-4</v>
      </c>
      <c r="AV11" s="127">
        <f t="shared" si="5"/>
        <v>3.379903118467191E-3</v>
      </c>
      <c r="AW11" s="127">
        <f t="shared" si="5"/>
        <v>9.1690389333978588E-4</v>
      </c>
      <c r="AX11" s="127">
        <f t="shared" si="5"/>
        <v>2.0876279440981308E-5</v>
      </c>
      <c r="AY11" s="127">
        <f t="shared" si="5"/>
        <v>0</v>
      </c>
      <c r="AZ11" s="127">
        <f t="shared" si="5"/>
        <v>2.4283276464855445E-5</v>
      </c>
      <c r="BA11" s="127">
        <f t="shared" si="5"/>
        <v>0</v>
      </c>
      <c r="BB11" s="127">
        <f t="shared" si="5"/>
        <v>6.5362766052104321E-5</v>
      </c>
      <c r="BC11" s="127">
        <f t="shared" si="5"/>
        <v>-2.5979795547521428E-4</v>
      </c>
      <c r="BD11" s="127">
        <f t="shared" si="5"/>
        <v>0</v>
      </c>
      <c r="BE11" s="127">
        <f t="shared" si="5"/>
        <v>4.6999681843581497E-4</v>
      </c>
      <c r="BF11" s="127">
        <f t="shared" si="5"/>
        <v>3.9118988557068971E-4</v>
      </c>
      <c r="BG11" s="127">
        <f t="shared" si="5"/>
        <v>0</v>
      </c>
      <c r="BH11" s="127">
        <f t="shared" si="5"/>
        <v>-1.3253150467936968E-3</v>
      </c>
      <c r="BI11" s="127">
        <f t="shared" si="5"/>
        <v>9.9580375130195386E-5</v>
      </c>
      <c r="BJ11" s="127">
        <f t="shared" si="5"/>
        <v>0</v>
      </c>
      <c r="BK11" s="127">
        <f t="shared" si="5"/>
        <v>-4.8197884445047633E-4</v>
      </c>
      <c r="BL11" s="127">
        <f t="shared" si="5"/>
        <v>4.7345878140073259E-5</v>
      </c>
      <c r="BM11" s="127">
        <f t="shared" si="5"/>
        <v>0</v>
      </c>
      <c r="BN11" s="127">
        <f t="shared" si="5"/>
        <v>4.210315761791899E-4</v>
      </c>
      <c r="BO11" s="127">
        <f t="shared" si="5"/>
        <v>-6.5615244378458104E-4</v>
      </c>
      <c r="BP11" s="127">
        <f t="shared" si="5"/>
        <v>-3.5386549514112312E-4</v>
      </c>
      <c r="BQ11" s="127">
        <f>AK15*SUMPRODUCT($C$16:$C$49,AK16:AK49)</f>
        <v>0</v>
      </c>
      <c r="BR11" s="156"/>
      <c r="BS11" s="156"/>
      <c r="BT11" s="156"/>
    </row>
    <row r="12" spans="1:72" ht="15.75">
      <c r="A12" s="128"/>
      <c r="B12" s="129" t="s">
        <v>104</v>
      </c>
      <c r="C12" s="130"/>
      <c r="D12" s="130"/>
      <c r="E12" s="130"/>
      <c r="F12" s="128"/>
      <c r="BR12" s="156"/>
      <c r="BS12" s="156"/>
      <c r="BT12" s="156"/>
    </row>
    <row r="13" spans="1:72" ht="16.5" thickBot="1">
      <c r="A13" s="128"/>
      <c r="B13" s="128"/>
      <c r="C13" s="128"/>
      <c r="D13" s="128"/>
      <c r="E13" s="128"/>
      <c r="F13" s="128"/>
      <c r="BR13" s="156"/>
      <c r="BS13" s="156"/>
      <c r="BT13" s="156"/>
    </row>
    <row r="14" spans="1:72" ht="16.5" thickBot="1">
      <c r="A14" s="128"/>
      <c r="B14" s="131"/>
      <c r="C14" s="132"/>
      <c r="D14" s="119" t="s">
        <v>63</v>
      </c>
      <c r="E14" s="119" t="s">
        <v>10</v>
      </c>
      <c r="F14" s="119" t="s">
        <v>26</v>
      </c>
      <c r="G14" s="119" t="s">
        <v>29</v>
      </c>
      <c r="H14" s="119" t="s">
        <v>89</v>
      </c>
      <c r="I14" s="119" t="s">
        <v>90</v>
      </c>
      <c r="J14" s="119" t="s">
        <v>91</v>
      </c>
      <c r="K14" s="119" t="s">
        <v>92</v>
      </c>
      <c r="L14" s="119" t="s">
        <v>31</v>
      </c>
      <c r="M14" s="119" t="s">
        <v>102</v>
      </c>
      <c r="N14" s="119" t="s">
        <v>46</v>
      </c>
      <c r="O14" s="119" t="s">
        <v>33</v>
      </c>
      <c r="P14" s="119" t="s">
        <v>24</v>
      </c>
      <c r="Q14" s="119" t="s">
        <v>39</v>
      </c>
      <c r="R14" s="119" t="s">
        <v>35</v>
      </c>
      <c r="S14" s="119" t="s">
        <v>96</v>
      </c>
      <c r="T14" s="119" t="s">
        <v>48</v>
      </c>
      <c r="U14" s="119" t="s">
        <v>97</v>
      </c>
      <c r="V14" s="119" t="s">
        <v>51</v>
      </c>
      <c r="W14" s="119" t="s">
        <v>53</v>
      </c>
      <c r="X14" s="119" t="s">
        <v>98</v>
      </c>
      <c r="Y14" s="119" t="s">
        <v>68</v>
      </c>
      <c r="Z14" s="119" t="s">
        <v>71</v>
      </c>
      <c r="AA14" s="119" t="s">
        <v>99</v>
      </c>
      <c r="AB14" s="119" t="s">
        <v>56</v>
      </c>
      <c r="AC14" s="119" t="s">
        <v>59</v>
      </c>
      <c r="AD14" s="119" t="s">
        <v>101</v>
      </c>
      <c r="AE14" s="119" t="s">
        <v>61</v>
      </c>
      <c r="AF14" s="119" t="s">
        <v>176</v>
      </c>
      <c r="AG14" s="119" t="s">
        <v>177</v>
      </c>
      <c r="AH14" s="119" t="s">
        <v>178</v>
      </c>
      <c r="AI14" s="119" t="s">
        <v>179</v>
      </c>
      <c r="AJ14" s="119" t="s">
        <v>180</v>
      </c>
      <c r="AK14" s="119" t="s">
        <v>181</v>
      </c>
      <c r="AM14" s="128"/>
      <c r="AN14" s="128"/>
      <c r="AO14" s="128"/>
      <c r="AP14" s="128"/>
      <c r="AQ14" s="128"/>
      <c r="BR14" s="156"/>
      <c r="BS14" s="156"/>
      <c r="BT14" s="156"/>
    </row>
    <row r="15" spans="1:72" ht="15.75">
      <c r="A15" s="128"/>
      <c r="B15" s="133"/>
      <c r="C15" s="134" t="s">
        <v>105</v>
      </c>
      <c r="D15" s="119">
        <f>AT31</f>
        <v>3.1860549721581859E-2</v>
      </c>
      <c r="E15" s="119">
        <f>AT34</f>
        <v>0.20683303755262122</v>
      </c>
      <c r="F15" s="119">
        <f>AT33</f>
        <v>2.111674218400467E-2</v>
      </c>
      <c r="G15" s="119">
        <f>AT41</f>
        <v>5.5215456421473366E-2</v>
      </c>
      <c r="H15" s="119">
        <v>0</v>
      </c>
      <c r="I15" s="119">
        <v>0</v>
      </c>
      <c r="J15" s="119">
        <v>0</v>
      </c>
      <c r="K15" s="119">
        <v>0</v>
      </c>
      <c r="L15" s="119">
        <f>AT42</f>
        <v>5.398803802287129E-2</v>
      </c>
      <c r="M15" s="119">
        <v>0</v>
      </c>
      <c r="N15" s="119">
        <f>AT23</f>
        <v>2.2132790076932803E-2</v>
      </c>
      <c r="O15" s="119">
        <f>AT43</f>
        <v>3.329226291024176E-2</v>
      </c>
      <c r="P15" s="119">
        <f>AT27</f>
        <v>4.4386581287160928E-2</v>
      </c>
      <c r="Q15" s="287">
        <f>AT22</f>
        <v>0.16230466159389106</v>
      </c>
      <c r="R15" s="119">
        <f>AT44</f>
        <v>2.1293446165383475E-2</v>
      </c>
      <c r="S15" s="119">
        <v>0</v>
      </c>
      <c r="T15" s="119">
        <f>AT24</f>
        <v>1.619872108366466E-3</v>
      </c>
      <c r="U15" s="119">
        <v>0</v>
      </c>
      <c r="V15" s="119">
        <f>AT25</f>
        <v>4.3660266282770303E-2</v>
      </c>
      <c r="W15" s="119">
        <f>AT26</f>
        <v>3.531562623190198E-2</v>
      </c>
      <c r="X15" s="119">
        <v>0</v>
      </c>
      <c r="Y15" s="119">
        <f>AT35</f>
        <v>1.6588497191426979E-2</v>
      </c>
      <c r="Z15" s="119">
        <f>AT36</f>
        <v>2.2120461892185441E-2</v>
      </c>
      <c r="AA15" s="119">
        <v>0</v>
      </c>
      <c r="AB15" s="119">
        <f>AT28</f>
        <v>5.1870837324511095E-2</v>
      </c>
      <c r="AC15" s="119">
        <f>AT29</f>
        <v>2.7245288291662391E-3</v>
      </c>
      <c r="AD15" s="119">
        <v>0</v>
      </c>
      <c r="AE15" s="119">
        <f>AT30</f>
        <v>1.7155182750313896E-2</v>
      </c>
      <c r="AF15" s="119">
        <f>AT38</f>
        <v>6.316645317188738E-3</v>
      </c>
      <c r="AG15" s="119">
        <v>0</v>
      </c>
      <c r="AH15" s="119">
        <f>AT37</f>
        <v>4.5304989884285836E-2</v>
      </c>
      <c r="AI15" s="119">
        <f>AT39</f>
        <v>4.0139792190415226E-2</v>
      </c>
      <c r="AJ15" s="119">
        <f>AT40</f>
        <v>4.2569001516059954E-2</v>
      </c>
      <c r="AK15" s="119">
        <v>0</v>
      </c>
      <c r="AL15" s="130"/>
      <c r="AM15" s="136" t="s">
        <v>80</v>
      </c>
      <c r="AN15" s="137"/>
      <c r="AO15" s="137"/>
      <c r="AP15" s="138">
        <f>SUM(D15:AK15)</f>
        <v>0.97780926745475449</v>
      </c>
      <c r="AQ15" s="128"/>
      <c r="AR15" s="128"/>
      <c r="BR15" s="156"/>
      <c r="BS15" s="156"/>
      <c r="BT15" s="156"/>
    </row>
    <row r="16" spans="1:72" ht="15.75">
      <c r="A16" s="128"/>
      <c r="B16" s="139" t="s">
        <v>106</v>
      </c>
      <c r="C16" s="140">
        <f>D15</f>
        <v>3.1860549721581859E-2</v>
      </c>
      <c r="D16" s="141">
        <f>_xlfn.VAR.S(AJ3:AJ7)</f>
        <v>2.0518908027708782E-2</v>
      </c>
      <c r="E16" s="142">
        <f>_xlfn.COVARIANCE.S(AJ3:AJ7,AK3:AK7)</f>
        <v>1.8027784653406511E-2</v>
      </c>
      <c r="F16" s="143">
        <f>_xlfn.COVARIANCE.S(AJ3:AJ7,AL3:AL7)</f>
        <v>1.9264039280004714E-2</v>
      </c>
      <c r="G16" s="143">
        <f>_xlfn.COVARIANCE.S(AJ3:AJ7,AM3:AM7)</f>
        <v>2.5190042406769961E-2</v>
      </c>
      <c r="H16" s="143">
        <f>_xlfn.COVARIANCE.S(AJ3:AJ7,AN3:AN7)</f>
        <v>8.0304368944297808E-2</v>
      </c>
      <c r="I16" s="143">
        <f>_xlfn.COVARIANCE.S(AJ3:AJ7,AO3:AO7)</f>
        <v>1.1701674304092739E-2</v>
      </c>
      <c r="J16" s="143">
        <f>_xlfn.COVARIANCE.S(AJ3:AJ7,AP3:AP7)</f>
        <v>-1.970177628773558E-3</v>
      </c>
      <c r="K16" s="143">
        <f>_xlfn.COVARIANCE.S(AJ3:AJ7,AQ3:AQ7)</f>
        <v>-2.9019418375523007E-2</v>
      </c>
      <c r="L16" s="143">
        <f>_xlfn.COVARIANCE.S(AJ3:AJ7,AR3:AR7)</f>
        <v>0.105624034971544</v>
      </c>
      <c r="M16" s="143">
        <f>_xlfn.COVARIANCE.S(AJ3:AJ7,AS3:AS7)</f>
        <v>1.231012401792776E-3</v>
      </c>
      <c r="N16" s="143">
        <f>_xlfn.COVARIANCE.S(AJ3:AJ7,AT3:AT7)</f>
        <v>1.9064279166985287E-2</v>
      </c>
      <c r="O16" s="143">
        <f>_xlfn.COVARIANCE.S(AJ3:AJ7,AU3:AU7)</f>
        <v>-7.2455642239431387E-3</v>
      </c>
      <c r="P16" s="143">
        <f t="shared" ref="P16:AK16" si="6">_xlfn.COVARIANCE.S($AJ$3:$AJ$7,AV3:AV7)</f>
        <v>9.6758220470936199E-2</v>
      </c>
      <c r="Q16" s="143">
        <f t="shared" si="6"/>
        <v>7.2753473983194691E-3</v>
      </c>
      <c r="R16" s="143">
        <f t="shared" si="6"/>
        <v>1.6201485049419336E-3</v>
      </c>
      <c r="S16" s="143">
        <f t="shared" si="6"/>
        <v>5.0186764447094682E-2</v>
      </c>
      <c r="T16" s="143">
        <f t="shared" si="6"/>
        <v>1.1571188302899211E-2</v>
      </c>
      <c r="U16" s="143">
        <f t="shared" si="6"/>
        <v>-1.982930126770839E-3</v>
      </c>
      <c r="V16" s="143">
        <f t="shared" si="6"/>
        <v>5.6646859135275522E-3</v>
      </c>
      <c r="W16" s="143">
        <f t="shared" si="6"/>
        <v>-6.7273783876935821E-3</v>
      </c>
      <c r="X16" s="143">
        <f t="shared" si="6"/>
        <v>-1.6285337056662588E-2</v>
      </c>
      <c r="Y16" s="143">
        <f t="shared" si="6"/>
        <v>3.5559855836460534E-2</v>
      </c>
      <c r="Z16" s="143">
        <f t="shared" si="6"/>
        <v>2.3104479313218393E-2</v>
      </c>
      <c r="AA16" s="143">
        <f t="shared" si="6"/>
        <v>4.4105775662463147E-2</v>
      </c>
      <c r="AB16" s="143">
        <f t="shared" si="6"/>
        <v>-3.2730103593545418E-2</v>
      </c>
      <c r="AC16" s="143">
        <f t="shared" si="6"/>
        <v>4.4827904669446562E-2</v>
      </c>
      <c r="AD16" s="143">
        <f t="shared" si="6"/>
        <v>-2.3724872027619914E-2</v>
      </c>
      <c r="AE16" s="143">
        <f t="shared" si="6"/>
        <v>-3.8577756665273723E-2</v>
      </c>
      <c r="AF16" s="143">
        <f t="shared" si="6"/>
        <v>1.1645190266096455E-2</v>
      </c>
      <c r="AG16" s="143">
        <f t="shared" si="6"/>
        <v>4.4018579237675111E-2</v>
      </c>
      <c r="AH16" s="143">
        <f t="shared" si="6"/>
        <v>1.299813675593022E-2</v>
      </c>
      <c r="AI16" s="143">
        <f t="shared" si="6"/>
        <v>-2.0325602242948212E-2</v>
      </c>
      <c r="AJ16" s="143">
        <f t="shared" si="6"/>
        <v>-1.092420233439737E-2</v>
      </c>
      <c r="AK16" s="143">
        <f t="shared" si="6"/>
        <v>1.4878688875574937E-3</v>
      </c>
      <c r="AM16" s="144" t="s">
        <v>81</v>
      </c>
      <c r="AN16" s="145"/>
      <c r="AO16" s="145"/>
      <c r="AP16" s="146">
        <f>SUMPRODUCT(D15:AK15,AJ9:BQ9)</f>
        <v>0.1617835471929083</v>
      </c>
      <c r="AQ16" s="128"/>
      <c r="AR16" s="128"/>
      <c r="BR16" s="156"/>
      <c r="BS16" s="156"/>
      <c r="BT16" s="156"/>
    </row>
    <row r="17" spans="1:72" ht="16.5" thickBot="1">
      <c r="A17" s="128"/>
      <c r="B17" s="148" t="s">
        <v>108</v>
      </c>
      <c r="C17" s="140">
        <f>E15</f>
        <v>0.20683303755262122</v>
      </c>
      <c r="D17" s="142">
        <f>E16</f>
        <v>1.8027784653406511E-2</v>
      </c>
      <c r="E17" s="141">
        <f>_xlfn.VAR.S(AK3:AK7)</f>
        <v>1.7271209501880009E-2</v>
      </c>
      <c r="F17" s="143">
        <f t="shared" ref="F17:AK17" si="7">_xlfn.COVARIANCE.S($AK$3:$AK$7,AL3:AL7)</f>
        <v>1.4952806127190167E-2</v>
      </c>
      <c r="G17" s="143">
        <f t="shared" si="7"/>
        <v>-2.7427520391680392E-3</v>
      </c>
      <c r="H17" s="143">
        <f t="shared" si="7"/>
        <v>9.0463634478064672E-2</v>
      </c>
      <c r="I17" s="143">
        <f t="shared" si="7"/>
        <v>1.3433338917237221E-2</v>
      </c>
      <c r="J17" s="143">
        <f t="shared" si="7"/>
        <v>-1.9117189820903305E-3</v>
      </c>
      <c r="K17" s="143">
        <f t="shared" si="7"/>
        <v>-2.4823450095621636E-2</v>
      </c>
      <c r="L17" s="143">
        <f t="shared" si="7"/>
        <v>9.9670696284205926E-2</v>
      </c>
      <c r="M17" s="143">
        <f t="shared" si="7"/>
        <v>4.4052023807418421E-3</v>
      </c>
      <c r="N17" s="143">
        <f t="shared" si="7"/>
        <v>2.3575708785673225E-2</v>
      </c>
      <c r="O17" s="143">
        <f t="shared" si="7"/>
        <v>-7.3729203399922104E-3</v>
      </c>
      <c r="P17" s="143">
        <f t="shared" si="7"/>
        <v>9.3999741313643928E-2</v>
      </c>
      <c r="Q17" s="143">
        <f t="shared" si="7"/>
        <v>6.0004558142688486E-3</v>
      </c>
      <c r="R17" s="143">
        <f t="shared" si="7"/>
        <v>-9.2723226807196288E-5</v>
      </c>
      <c r="S17" s="143">
        <f t="shared" si="7"/>
        <v>4.9339082229415E-2</v>
      </c>
      <c r="T17" s="143">
        <f t="shared" si="7"/>
        <v>-5.532102791856789E-3</v>
      </c>
      <c r="U17" s="143">
        <f t="shared" si="7"/>
        <v>-5.4968491575599051E-3</v>
      </c>
      <c r="V17" s="143">
        <f t="shared" si="7"/>
        <v>-2.3154290877248443E-4</v>
      </c>
      <c r="W17" s="143">
        <f t="shared" si="7"/>
        <v>-3.3567651030791041E-3</v>
      </c>
      <c r="X17" s="143">
        <f t="shared" si="7"/>
        <v>-9.024256749411581E-3</v>
      </c>
      <c r="Y17" s="143">
        <f t="shared" si="7"/>
        <v>3.3552610997017826E-2</v>
      </c>
      <c r="Z17" s="143">
        <f t="shared" si="7"/>
        <v>1.7600621098767758E-2</v>
      </c>
      <c r="AA17" s="143">
        <f t="shared" si="7"/>
        <v>3.9684207601822723E-2</v>
      </c>
      <c r="AB17" s="143">
        <f t="shared" si="7"/>
        <v>-2.3705565008111731E-2</v>
      </c>
      <c r="AC17" s="143">
        <f t="shared" si="7"/>
        <v>3.3433349530974633E-2</v>
      </c>
      <c r="AD17" s="143">
        <f t="shared" si="7"/>
        <v>-1.5858845223309336E-2</v>
      </c>
      <c r="AE17" s="143">
        <f t="shared" si="7"/>
        <v>-2.906719811915276E-2</v>
      </c>
      <c r="AF17" s="143">
        <f t="shared" si="7"/>
        <v>8.8956629129642271E-3</v>
      </c>
      <c r="AG17" s="143">
        <f t="shared" si="7"/>
        <v>3.8170573636133971E-2</v>
      </c>
      <c r="AH17" s="143">
        <f t="shared" si="7"/>
        <v>1.3118833145217562E-2</v>
      </c>
      <c r="AI17" s="143">
        <f t="shared" si="7"/>
        <v>-1.6472143477595496E-2</v>
      </c>
      <c r="AJ17" s="143">
        <f t="shared" si="7"/>
        <v>-1.4498069043013309E-2</v>
      </c>
      <c r="AK17" s="143">
        <f t="shared" si="7"/>
        <v>4.9510544061524041E-3</v>
      </c>
      <c r="AM17" s="144" t="s">
        <v>82</v>
      </c>
      <c r="AN17" s="145"/>
      <c r="AO17" s="145"/>
      <c r="AP17" s="270">
        <f>SUM(AJ11:BQ11)^(0.5)</f>
        <v>0.11142503380124762</v>
      </c>
      <c r="AQ17" s="128"/>
      <c r="AR17" s="128"/>
      <c r="BR17" s="156"/>
      <c r="BS17" s="156"/>
      <c r="BT17" s="156"/>
    </row>
    <row r="18" spans="1:72" ht="15.75">
      <c r="A18" s="128"/>
      <c r="B18" s="128" t="s">
        <v>109</v>
      </c>
      <c r="C18" s="140">
        <f>F15</f>
        <v>2.111674218400467E-2</v>
      </c>
      <c r="D18" s="142">
        <f>F16</f>
        <v>1.9264039280004714E-2</v>
      </c>
      <c r="E18" s="143">
        <f>F17</f>
        <v>1.4952806127190167E-2</v>
      </c>
      <c r="F18" s="151">
        <f>_xlfn.VAR.S(AL3:AL7)</f>
        <v>2.2172476469088268E-2</v>
      </c>
      <c r="G18" s="143">
        <f t="shared" ref="G18:AK18" si="8">_xlfn.COVARIANCE.S($AL$3:$AL$7,AM3:AM7)</f>
        <v>3.8293194087850924E-2</v>
      </c>
      <c r="H18" s="143">
        <f t="shared" si="8"/>
        <v>4.9212400806269908E-2</v>
      </c>
      <c r="I18" s="143">
        <f t="shared" si="8"/>
        <v>8.9621198469436482E-3</v>
      </c>
      <c r="J18" s="143">
        <f t="shared" si="8"/>
        <v>-3.1900570803084349E-3</v>
      </c>
      <c r="K18" s="143">
        <f t="shared" si="8"/>
        <v>-3.3755972816020018E-2</v>
      </c>
      <c r="L18" s="143">
        <f t="shared" si="8"/>
        <v>9.5188217598135574E-2</v>
      </c>
      <c r="M18" s="143">
        <f t="shared" si="8"/>
        <v>-1.8558010466830082E-3</v>
      </c>
      <c r="N18" s="143">
        <f t="shared" si="8"/>
        <v>8.7965280677176228E-3</v>
      </c>
      <c r="O18" s="143">
        <f t="shared" si="8"/>
        <v>-4.747856728560919E-3</v>
      </c>
      <c r="P18" s="143">
        <f t="shared" si="8"/>
        <v>6.8285709159110072E-2</v>
      </c>
      <c r="Q18" s="143">
        <f t="shared" si="8"/>
        <v>7.5098564154163043E-3</v>
      </c>
      <c r="R18" s="143">
        <f t="shared" si="8"/>
        <v>5.4288404786477411E-3</v>
      </c>
      <c r="S18" s="143">
        <f t="shared" si="8"/>
        <v>4.1039620983272428E-2</v>
      </c>
      <c r="T18" s="143">
        <f t="shared" si="8"/>
        <v>2.2216022445226889E-2</v>
      </c>
      <c r="U18" s="143">
        <f t="shared" si="8"/>
        <v>8.338423302875481E-3</v>
      </c>
      <c r="V18" s="143">
        <f t="shared" si="8"/>
        <v>2.5141433481851536E-2</v>
      </c>
      <c r="W18" s="143">
        <f t="shared" si="8"/>
        <v>-4.2989376456366605E-3</v>
      </c>
      <c r="X18" s="143">
        <f t="shared" si="8"/>
        <v>-1.0077098238302688E-2</v>
      </c>
      <c r="Y18" s="143">
        <f t="shared" si="8"/>
        <v>2.5930633562221844E-2</v>
      </c>
      <c r="Z18" s="143">
        <f t="shared" si="8"/>
        <v>2.7586755573044835E-2</v>
      </c>
      <c r="AA18" s="143">
        <f t="shared" si="8"/>
        <v>4.2224275475345109E-2</v>
      </c>
      <c r="AB18" s="143">
        <f t="shared" si="8"/>
        <v>-3.9886459933428403E-2</v>
      </c>
      <c r="AC18" s="143">
        <f t="shared" si="8"/>
        <v>4.7596808654275014E-2</v>
      </c>
      <c r="AD18" s="143">
        <f t="shared" si="8"/>
        <v>-3.374995278837397E-2</v>
      </c>
      <c r="AE18" s="143">
        <f t="shared" si="8"/>
        <v>-5.1408154386226708E-2</v>
      </c>
      <c r="AF18" s="143">
        <f t="shared" si="8"/>
        <v>1.851486990374766E-2</v>
      </c>
      <c r="AG18" s="143">
        <f t="shared" si="8"/>
        <v>4.2294111264007728E-2</v>
      </c>
      <c r="AH18" s="143">
        <f t="shared" si="8"/>
        <v>1.1271112670222396E-2</v>
      </c>
      <c r="AI18" s="143">
        <f t="shared" si="8"/>
        <v>-1.9708353060675716E-2</v>
      </c>
      <c r="AJ18" s="143">
        <f t="shared" si="8"/>
        <v>-9.1079331604335297E-4</v>
      </c>
      <c r="AK18" s="143">
        <f t="shared" si="8"/>
        <v>4.414593104956223E-3</v>
      </c>
      <c r="AM18" s="144"/>
      <c r="AN18" s="145"/>
      <c r="AO18" s="145"/>
      <c r="AP18" s="149"/>
      <c r="AQ18" s="128"/>
      <c r="BR18" s="156"/>
      <c r="BS18" s="156"/>
      <c r="BT18" s="156"/>
    </row>
    <row r="19" spans="1:72" ht="16.5" thickBot="1">
      <c r="A19" s="128"/>
      <c r="B19" s="130" t="s">
        <v>110</v>
      </c>
      <c r="C19" s="140">
        <f>G15</f>
        <v>5.5215456421473366E-2</v>
      </c>
      <c r="D19" s="142">
        <f>G16</f>
        <v>2.5190042406769961E-2</v>
      </c>
      <c r="E19" s="143">
        <f>G17</f>
        <v>-2.7427520391680392E-3</v>
      </c>
      <c r="F19" s="143">
        <f>G18</f>
        <v>3.8293194087850924E-2</v>
      </c>
      <c r="G19" s="151">
        <f>_xlfn.VAR.S(AM3:AM7)</f>
        <v>0.74387503019271739</v>
      </c>
      <c r="H19" s="143">
        <f t="shared" ref="H19:AK19" si="9">_xlfn.COVARIANCE.S($AM$3:$AM$7,AN3:AN7)</f>
        <v>-0.26496351106337895</v>
      </c>
      <c r="I19" s="143">
        <f t="shared" si="9"/>
        <v>-7.3577941823898457E-2</v>
      </c>
      <c r="J19" s="143">
        <f t="shared" si="9"/>
        <v>2.3478775847760504E-2</v>
      </c>
      <c r="K19" s="143">
        <f t="shared" si="9"/>
        <v>3.2657688100075785E-2</v>
      </c>
      <c r="L19" s="143">
        <f t="shared" si="9"/>
        <v>-6.8216553006545833E-2</v>
      </c>
      <c r="M19" s="143">
        <f t="shared" si="9"/>
        <v>-7.8644578840095195E-2</v>
      </c>
      <c r="N19" s="143">
        <f t="shared" si="9"/>
        <v>-9.9447092416939067E-2</v>
      </c>
      <c r="O19" s="143">
        <f t="shared" si="9"/>
        <v>-9.6425367928167441E-4</v>
      </c>
      <c r="P19" s="143">
        <f t="shared" si="9"/>
        <v>0.10836533157104307</v>
      </c>
      <c r="Q19" s="143">
        <f t="shared" si="9"/>
        <v>1.372798884136424E-2</v>
      </c>
      <c r="R19" s="143">
        <f t="shared" si="9"/>
        <v>2.2684615725499968E-3</v>
      </c>
      <c r="S19" s="143">
        <f t="shared" si="9"/>
        <v>-4.5912623870499623E-2</v>
      </c>
      <c r="T19" s="143">
        <f t="shared" si="9"/>
        <v>0.4339266252752681</v>
      </c>
      <c r="U19" s="143">
        <f t="shared" si="9"/>
        <v>-9.2295203430462682E-3</v>
      </c>
      <c r="V19" s="143">
        <f t="shared" si="9"/>
        <v>-8.3715435040806419E-2</v>
      </c>
      <c r="W19" s="143">
        <f t="shared" si="9"/>
        <v>-0.13186974848811364</v>
      </c>
      <c r="X19" s="143">
        <f t="shared" si="9"/>
        <v>-0.29062238968877713</v>
      </c>
      <c r="Y19" s="143">
        <f t="shared" si="9"/>
        <v>6.4721397548049356E-2</v>
      </c>
      <c r="Z19" s="143">
        <f t="shared" si="9"/>
        <v>4.4050180045283695E-2</v>
      </c>
      <c r="AA19" s="143">
        <f t="shared" si="9"/>
        <v>7.8513016703420507E-3</v>
      </c>
      <c r="AB19" s="143">
        <f t="shared" si="9"/>
        <v>-9.638800493535897E-2</v>
      </c>
      <c r="AC19" s="143">
        <f t="shared" si="9"/>
        <v>0.19690213491781736</v>
      </c>
      <c r="AD19" s="143">
        <f t="shared" si="9"/>
        <v>-4.9720512433293146E-2</v>
      </c>
      <c r="AE19" s="143">
        <f t="shared" si="9"/>
        <v>-8.8893567878636521E-3</v>
      </c>
      <c r="AF19" s="143">
        <f t="shared" si="9"/>
        <v>-4.4729356480838776E-2</v>
      </c>
      <c r="AG19" s="143">
        <f t="shared" si="9"/>
        <v>5.8873860398871346E-2</v>
      </c>
      <c r="AH19" s="143">
        <f t="shared" si="9"/>
        <v>-3.370526158379241E-2</v>
      </c>
      <c r="AI19" s="143">
        <f t="shared" si="9"/>
        <v>-6.7393537737110529E-2</v>
      </c>
      <c r="AJ19" s="143">
        <f t="shared" si="9"/>
        <v>3.452148063743004E-2</v>
      </c>
      <c r="AK19" s="143">
        <f t="shared" si="9"/>
        <v>-0.17654252616911961</v>
      </c>
      <c r="AM19" s="152" t="s">
        <v>83</v>
      </c>
      <c r="AN19" s="153"/>
      <c r="AO19" s="153"/>
      <c r="AP19" s="154">
        <f>(AP16-BO1)/AP17</f>
        <v>1.0705273592797662</v>
      </c>
      <c r="AQ19" s="128"/>
      <c r="AR19" s="128"/>
      <c r="BR19" s="156"/>
      <c r="BS19" s="156"/>
      <c r="BT19" s="156"/>
    </row>
    <row r="20" spans="1:72" ht="15.75">
      <c r="A20" s="130"/>
      <c r="B20" s="130" t="s">
        <v>111</v>
      </c>
      <c r="C20" s="140">
        <f>H15</f>
        <v>0</v>
      </c>
      <c r="D20" s="142">
        <f>H16</f>
        <v>8.0304368944297808E-2</v>
      </c>
      <c r="E20" s="143">
        <f>H17</f>
        <v>9.0463634478064672E-2</v>
      </c>
      <c r="F20" s="143">
        <f>H18</f>
        <v>4.9212400806269908E-2</v>
      </c>
      <c r="G20" s="143">
        <f>H19</f>
        <v>-0.26496351106337895</v>
      </c>
      <c r="H20" s="151">
        <f>_xlfn.VAR.S(AN3:AN7)</f>
        <v>0.59217140320177375</v>
      </c>
      <c r="I20" s="143">
        <f t="shared" ref="I20:AK20" si="10">_xlfn.COVARIANCE.S($AN$3:$AN$7,AO3:AO7)</f>
        <v>9.1716518095868005E-2</v>
      </c>
      <c r="J20" s="143">
        <f t="shared" si="10"/>
        <v>-1.1661327719808337E-2</v>
      </c>
      <c r="K20" s="143">
        <f t="shared" si="10"/>
        <v>-0.10927281541238044</v>
      </c>
      <c r="L20" s="143">
        <f t="shared" si="10"/>
        <v>0.513848276950153</v>
      </c>
      <c r="M20" s="143">
        <f t="shared" si="10"/>
        <v>5.243920460389933E-2</v>
      </c>
      <c r="N20" s="143">
        <f t="shared" si="10"/>
        <v>0.16977463402336138</v>
      </c>
      <c r="O20" s="143">
        <f t="shared" si="10"/>
        <v>-4.1751795887269627E-2</v>
      </c>
      <c r="P20" s="143">
        <f t="shared" si="10"/>
        <v>0.49442879403830592</v>
      </c>
      <c r="Q20" s="143">
        <f t="shared" si="10"/>
        <v>2.3155948510734436E-2</v>
      </c>
      <c r="R20" s="143">
        <f t="shared" si="10"/>
        <v>-1.3090080664722994E-2</v>
      </c>
      <c r="S20" s="143">
        <f t="shared" si="10"/>
        <v>0.2703707332500081</v>
      </c>
      <c r="T20" s="143">
        <f t="shared" si="10"/>
        <v>-0.18224192121362615</v>
      </c>
      <c r="U20" s="143">
        <f t="shared" si="10"/>
        <v>-5.5405892552166609E-2</v>
      </c>
      <c r="V20" s="143">
        <f t="shared" si="10"/>
        <v>-3.8790219968343691E-2</v>
      </c>
      <c r="W20" s="143">
        <f t="shared" si="10"/>
        <v>1.4182535588551412E-2</v>
      </c>
      <c r="X20" s="143">
        <f t="shared" si="10"/>
        <v>2.102246385260767E-2</v>
      </c>
      <c r="Y20" s="143">
        <f t="shared" si="10"/>
        <v>0.16741507908491551</v>
      </c>
      <c r="Z20" s="143">
        <f t="shared" si="10"/>
        <v>5.4876291203264121E-2</v>
      </c>
      <c r="AA20" s="143">
        <f t="shared" si="10"/>
        <v>0.18748939318050847</v>
      </c>
      <c r="AB20" s="143">
        <f t="shared" si="10"/>
        <v>-5.9871206414242116E-2</v>
      </c>
      <c r="AC20" s="143">
        <f t="shared" si="10"/>
        <v>9.0264842921959201E-2</v>
      </c>
      <c r="AD20" s="143">
        <f t="shared" si="10"/>
        <v>-2.7713223661558234E-2</v>
      </c>
      <c r="AE20" s="143">
        <f t="shared" si="10"/>
        <v>-9.1607223495587878E-2</v>
      </c>
      <c r="AF20" s="143">
        <f t="shared" si="10"/>
        <v>3.2202890307145814E-2</v>
      </c>
      <c r="AG20" s="143">
        <f t="shared" si="10"/>
        <v>0.16551733301819135</v>
      </c>
      <c r="AH20" s="143">
        <f t="shared" si="10"/>
        <v>7.5759753386503467E-2</v>
      </c>
      <c r="AI20" s="143">
        <f t="shared" si="10"/>
        <v>-5.9121935038153252E-2</v>
      </c>
      <c r="AJ20" s="143">
        <f t="shared" si="10"/>
        <v>-0.1085243118836674</v>
      </c>
      <c r="AK20" s="143">
        <f t="shared" si="10"/>
        <v>6.3750581879803966E-2</v>
      </c>
      <c r="BR20" s="156"/>
      <c r="BS20" s="156"/>
      <c r="BT20" s="156"/>
    </row>
    <row r="21" spans="1:72" ht="15.75">
      <c r="A21" s="130"/>
      <c r="B21" s="130" t="s">
        <v>112</v>
      </c>
      <c r="C21" s="140">
        <f>I15</f>
        <v>0</v>
      </c>
      <c r="D21" s="142">
        <f>I16</f>
        <v>1.1701674304092739E-2</v>
      </c>
      <c r="E21" s="143">
        <f>I17</f>
        <v>1.3433338917237221E-2</v>
      </c>
      <c r="F21" s="143">
        <f>I18</f>
        <v>8.9621198469436482E-3</v>
      </c>
      <c r="G21" s="143">
        <f>I19</f>
        <v>-7.3577941823898457E-2</v>
      </c>
      <c r="H21" s="143">
        <f>I20</f>
        <v>9.1716518095868005E-2</v>
      </c>
      <c r="I21" s="151">
        <f>_xlfn.VAR.S(AO3:AO7)</f>
        <v>1.7533786832111282E-2</v>
      </c>
      <c r="J21" s="143">
        <f t="shared" ref="J21:AK21" si="11">_xlfn.COVARIANCE.S($AO$3:$AO$7,AP3:AP7)</f>
        <v>-4.2104438531173185E-3</v>
      </c>
      <c r="K21" s="143">
        <f t="shared" si="11"/>
        <v>-2.4517400567140302E-2</v>
      </c>
      <c r="L21" s="143">
        <f t="shared" si="11"/>
        <v>8.4640503871444076E-2</v>
      </c>
      <c r="M21" s="143">
        <f t="shared" si="11"/>
        <v>1.0667838464243897E-2</v>
      </c>
      <c r="N21" s="143">
        <f t="shared" si="11"/>
        <v>2.640413360346076E-2</v>
      </c>
      <c r="O21" s="143">
        <f t="shared" si="11"/>
        <v>-5.2190555458082556E-3</v>
      </c>
      <c r="P21" s="143">
        <f t="shared" si="11"/>
        <v>5.7749413153804358E-2</v>
      </c>
      <c r="Q21" s="143">
        <f t="shared" si="11"/>
        <v>3.5240045298546817E-3</v>
      </c>
      <c r="R21" s="143">
        <f t="shared" si="11"/>
        <v>6.6519624169332839E-4</v>
      </c>
      <c r="S21" s="143">
        <f t="shared" si="11"/>
        <v>4.2106578114903648E-2</v>
      </c>
      <c r="T21" s="143">
        <f t="shared" si="11"/>
        <v>-4.5331346109565372E-2</v>
      </c>
      <c r="U21" s="143">
        <f t="shared" si="11"/>
        <v>-8.8694194630234598E-4</v>
      </c>
      <c r="V21" s="143">
        <f t="shared" si="11"/>
        <v>1.3168313164145462E-2</v>
      </c>
      <c r="W21" s="143">
        <f t="shared" si="11"/>
        <v>1.1149184503774077E-2</v>
      </c>
      <c r="X21" s="143">
        <f t="shared" si="11"/>
        <v>2.3476170711430364E-2</v>
      </c>
      <c r="Y21" s="143">
        <f t="shared" si="11"/>
        <v>1.8134109242832101E-2</v>
      </c>
      <c r="Z21" s="143">
        <f t="shared" si="11"/>
        <v>1.0920979463364322E-2</v>
      </c>
      <c r="AA21" s="143">
        <f t="shared" si="11"/>
        <v>3.076199687158011E-2</v>
      </c>
      <c r="AB21" s="143">
        <f t="shared" si="11"/>
        <v>-1.1272337714657138E-2</v>
      </c>
      <c r="AC21" s="143">
        <f t="shared" si="11"/>
        <v>7.9157769219036639E-3</v>
      </c>
      <c r="AD21" s="143">
        <f t="shared" si="11"/>
        <v>-1.0354313219627062E-2</v>
      </c>
      <c r="AE21" s="143">
        <f t="shared" si="11"/>
        <v>-2.5827336672203712E-2</v>
      </c>
      <c r="AF21" s="143">
        <f t="shared" si="11"/>
        <v>1.3416528724070934E-2</v>
      </c>
      <c r="AG21" s="143">
        <f t="shared" si="11"/>
        <v>2.4456999011972378E-2</v>
      </c>
      <c r="AH21" s="143">
        <f t="shared" si="11"/>
        <v>1.3533553161764515E-2</v>
      </c>
      <c r="AI21" s="143">
        <f t="shared" si="11"/>
        <v>-6.3704322396019109E-3</v>
      </c>
      <c r="AJ21" s="143">
        <f t="shared" si="11"/>
        <v>-1.2623047976633833E-2</v>
      </c>
      <c r="AK21" s="143">
        <f t="shared" si="11"/>
        <v>2.2466582340327657E-2</v>
      </c>
      <c r="BR21" s="156"/>
      <c r="BS21" s="156"/>
      <c r="BT21" s="156"/>
    </row>
    <row r="22" spans="1:72" ht="15.75">
      <c r="A22" s="130"/>
      <c r="B22" s="128" t="s">
        <v>113</v>
      </c>
      <c r="C22" s="140">
        <f>J15</f>
        <v>0</v>
      </c>
      <c r="D22" s="142">
        <f>J16</f>
        <v>-1.970177628773558E-3</v>
      </c>
      <c r="E22" s="143">
        <f>J17</f>
        <v>-1.9117189820903305E-3</v>
      </c>
      <c r="F22" s="143">
        <f>J18</f>
        <v>-3.1900570803084349E-3</v>
      </c>
      <c r="G22" s="143">
        <f>J19</f>
        <v>2.3478775847760504E-2</v>
      </c>
      <c r="H22" s="143">
        <f>J20</f>
        <v>-1.1661327719808337E-2</v>
      </c>
      <c r="I22" s="143">
        <f>J21</f>
        <v>-4.2104438531173185E-3</v>
      </c>
      <c r="J22" s="151">
        <f>_xlfn.VAR.S(AP3:AP7)</f>
        <v>2.0558374732683894E-3</v>
      </c>
      <c r="K22" s="143">
        <f t="shared" ref="K22:AK22" si="12">_xlfn.COVARIANCE.S($AP$3:$AP$7,AQ3:AQ7)</f>
        <v>9.1805588925005146E-3</v>
      </c>
      <c r="L22" s="143">
        <f t="shared" si="12"/>
        <v>-1.7373516425125638E-2</v>
      </c>
      <c r="M22" s="143">
        <f t="shared" si="12"/>
        <v>-2.3546553300350819E-3</v>
      </c>
      <c r="N22" s="143">
        <f t="shared" si="12"/>
        <v>-3.0395389970622453E-3</v>
      </c>
      <c r="O22" s="143">
        <f t="shared" si="12"/>
        <v>4.8227439107573298E-5</v>
      </c>
      <c r="P22" s="143">
        <f t="shared" si="12"/>
        <v>1.3799646969843299E-3</v>
      </c>
      <c r="Q22" s="143">
        <f t="shared" si="12"/>
        <v>-8.1163869675305418E-4</v>
      </c>
      <c r="R22" s="143">
        <f t="shared" si="12"/>
        <v>-2.0751933381279626E-3</v>
      </c>
      <c r="S22" s="143">
        <f t="shared" si="12"/>
        <v>-6.8109368533556041E-3</v>
      </c>
      <c r="T22" s="143">
        <f t="shared" si="12"/>
        <v>1.2784130671987623E-2</v>
      </c>
      <c r="U22" s="143">
        <f t="shared" si="12"/>
        <v>-5.1699933414919956E-3</v>
      </c>
      <c r="V22" s="143">
        <f t="shared" si="12"/>
        <v>-1.4562165255258849E-2</v>
      </c>
      <c r="W22" s="143">
        <f t="shared" si="12"/>
        <v>-6.0973101468509384E-3</v>
      </c>
      <c r="X22" s="143">
        <f t="shared" si="12"/>
        <v>-1.3593602681759277E-2</v>
      </c>
      <c r="Y22" s="143">
        <f t="shared" si="12"/>
        <v>1.2515210580693592E-3</v>
      </c>
      <c r="Z22" s="143">
        <f t="shared" si="12"/>
        <v>-4.4048710492588889E-3</v>
      </c>
      <c r="AA22" s="143">
        <f t="shared" si="12"/>
        <v>-6.7903340332736151E-3</v>
      </c>
      <c r="AB22" s="143">
        <f t="shared" si="12"/>
        <v>5.0592128677445277E-3</v>
      </c>
      <c r="AC22" s="143">
        <f t="shared" si="12"/>
        <v>-4.3508590068100952E-4</v>
      </c>
      <c r="AD22" s="143">
        <f t="shared" si="12"/>
        <v>6.9962742324994063E-3</v>
      </c>
      <c r="AE22" s="143">
        <f t="shared" si="12"/>
        <v>1.3004533916964078E-2</v>
      </c>
      <c r="AF22" s="143">
        <f t="shared" si="12"/>
        <v>-7.611462724171441E-3</v>
      </c>
      <c r="AG22" s="143">
        <f t="shared" si="12"/>
        <v>-4.4803611242714911E-3</v>
      </c>
      <c r="AH22" s="143">
        <f t="shared" si="12"/>
        <v>-3.0954995632981089E-3</v>
      </c>
      <c r="AI22" s="143">
        <f t="shared" si="12"/>
        <v>2.8836121780794269E-4</v>
      </c>
      <c r="AJ22" s="143">
        <f t="shared" si="12"/>
        <v>-1.3448679709325633E-3</v>
      </c>
      <c r="AK22" s="143">
        <f t="shared" si="12"/>
        <v>-9.9263154140497023E-3</v>
      </c>
      <c r="AM22" s="119" t="s">
        <v>39</v>
      </c>
      <c r="AN22" s="119">
        <v>0.15666405571569678</v>
      </c>
      <c r="AO22" s="119">
        <v>0.18216074889419229</v>
      </c>
      <c r="AQ22" s="119" t="s">
        <v>39</v>
      </c>
      <c r="AR22" s="181">
        <v>0.15038467660488863</v>
      </c>
      <c r="AS22" s="119">
        <f>AR22*$AS$46</f>
        <v>0.16230466159389106</v>
      </c>
      <c r="AT22" s="119">
        <v>0.16230466159389106</v>
      </c>
      <c r="BR22" s="156"/>
      <c r="BS22" s="156"/>
      <c r="BT22" s="156"/>
    </row>
    <row r="23" spans="1:72" ht="15.75">
      <c r="A23" s="128"/>
      <c r="B23" s="128" t="s">
        <v>114</v>
      </c>
      <c r="C23" s="140">
        <f>K15</f>
        <v>0</v>
      </c>
      <c r="D23" s="142">
        <f>K16</f>
        <v>-2.9019418375523007E-2</v>
      </c>
      <c r="E23" s="143">
        <f>K17</f>
        <v>-2.4823450095621636E-2</v>
      </c>
      <c r="F23" s="143">
        <f>K18</f>
        <v>-3.3755972816020018E-2</v>
      </c>
      <c r="G23" s="143">
        <f>K19</f>
        <v>3.2657688100075785E-2</v>
      </c>
      <c r="H23" s="143">
        <f>K20</f>
        <v>-0.10927281541238044</v>
      </c>
      <c r="I23" s="143">
        <f>K21</f>
        <v>-2.4517400567140302E-2</v>
      </c>
      <c r="J23" s="143">
        <f>K22</f>
        <v>9.1805588925005146E-3</v>
      </c>
      <c r="K23" s="151">
        <f>_xlfn.VAR.S(AQ3:AQ7)</f>
        <v>6.4124364088378294E-2</v>
      </c>
      <c r="L23" s="143">
        <f t="shared" ref="L23:AK23" si="13">_xlfn.COVARIANCE.S($AQ$3:$AQ$7,AR3:AR7)</f>
        <v>-0.16851887741681601</v>
      </c>
      <c r="M23" s="143">
        <f t="shared" si="13"/>
        <v>-6.5642471664610867E-3</v>
      </c>
      <c r="N23" s="143">
        <f t="shared" si="13"/>
        <v>-2.4976618411534323E-2</v>
      </c>
      <c r="O23" s="143">
        <f t="shared" si="13"/>
        <v>7.0524097626370038E-3</v>
      </c>
      <c r="P23" s="143">
        <f t="shared" si="13"/>
        <v>-9.1139181488606322E-2</v>
      </c>
      <c r="Q23" s="143">
        <f t="shared" si="13"/>
        <v>-1.1044348867552111E-2</v>
      </c>
      <c r="R23" s="143">
        <f t="shared" si="13"/>
        <v>-1.042137059691872E-2</v>
      </c>
      <c r="S23" s="143">
        <f t="shared" si="13"/>
        <v>-7.3187674829213858E-2</v>
      </c>
      <c r="T23" s="143">
        <f t="shared" si="13"/>
        <v>1.8124139435988614E-2</v>
      </c>
      <c r="U23" s="143">
        <f t="shared" si="13"/>
        <v>-1.9460379511036689E-2</v>
      </c>
      <c r="V23" s="143">
        <f t="shared" si="13"/>
        <v>-6.202668600454405E-2</v>
      </c>
      <c r="W23" s="143">
        <f t="shared" si="13"/>
        <v>-1.1848253091307834E-2</v>
      </c>
      <c r="X23" s="143">
        <f t="shared" si="13"/>
        <v>-2.5403240056473569E-2</v>
      </c>
      <c r="Y23" s="143">
        <f t="shared" si="13"/>
        <v>-3.1786479316833864E-2</v>
      </c>
      <c r="Z23" s="143">
        <f t="shared" si="13"/>
        <v>-4.2823760475409971E-2</v>
      </c>
      <c r="AA23" s="143">
        <f t="shared" si="13"/>
        <v>-7.0504936771038015E-2</v>
      </c>
      <c r="AB23" s="143">
        <f t="shared" si="13"/>
        <v>5.7636781138121963E-2</v>
      </c>
      <c r="AC23" s="143">
        <f t="shared" si="13"/>
        <v>-5.5239160036640311E-2</v>
      </c>
      <c r="AD23" s="143">
        <f t="shared" si="13"/>
        <v>5.4686245364840978E-2</v>
      </c>
      <c r="AE23" s="143">
        <f t="shared" si="13"/>
        <v>9.1648425399547651E-2</v>
      </c>
      <c r="AF23" s="143">
        <f t="shared" si="13"/>
        <v>-4.0506154510856984E-2</v>
      </c>
      <c r="AG23" s="143">
        <f t="shared" si="13"/>
        <v>-6.3606459148017686E-2</v>
      </c>
      <c r="AH23" s="143">
        <f t="shared" si="13"/>
        <v>-2.3323259711022892E-2</v>
      </c>
      <c r="AI23" s="143">
        <f t="shared" si="13"/>
        <v>2.4167162958845346E-2</v>
      </c>
      <c r="AJ23" s="143">
        <f t="shared" si="13"/>
        <v>2.5632248729117678E-3</v>
      </c>
      <c r="AK23" s="143">
        <f t="shared" si="13"/>
        <v>-3.3154351824255295E-2</v>
      </c>
      <c r="AM23" s="119" t="s">
        <v>46</v>
      </c>
      <c r="AN23" s="119">
        <v>6.1836682502839836E-2</v>
      </c>
      <c r="AO23" s="119">
        <v>7.1900451845133079E-2</v>
      </c>
      <c r="AQ23" s="119" t="s">
        <v>46</v>
      </c>
      <c r="AR23" s="181">
        <v>2.0507312885514224E-2</v>
      </c>
      <c r="AS23" s="119">
        <f t="shared" ref="AS23:AS45" si="14">AR23*$AS$46</f>
        <v>2.2132790076932803E-2</v>
      </c>
      <c r="AT23" s="119">
        <v>2.2132790076932803E-2</v>
      </c>
      <c r="BR23" s="156"/>
      <c r="BS23" s="156"/>
      <c r="BT23" s="156"/>
    </row>
    <row r="24" spans="1:72" ht="15.75">
      <c r="A24" s="128"/>
      <c r="B24" s="128" t="s">
        <v>115</v>
      </c>
      <c r="C24" s="140">
        <f>L15</f>
        <v>5.398803802287129E-2</v>
      </c>
      <c r="D24" s="142">
        <f>L16</f>
        <v>0.105624034971544</v>
      </c>
      <c r="E24" s="143">
        <f>L17</f>
        <v>9.9670696284205926E-2</v>
      </c>
      <c r="F24" s="143">
        <f>L18</f>
        <v>9.5188217598135574E-2</v>
      </c>
      <c r="G24" s="143">
        <f>L19</f>
        <v>-6.8216553006545833E-2</v>
      </c>
      <c r="H24" s="143">
        <f>L20</f>
        <v>0.513848276950153</v>
      </c>
      <c r="I24" s="143">
        <f>L21</f>
        <v>8.4640503871444076E-2</v>
      </c>
      <c r="J24" s="143">
        <f>L22</f>
        <v>-1.7373516425125638E-2</v>
      </c>
      <c r="K24" s="143">
        <f>L23</f>
        <v>-0.16851887741681601</v>
      </c>
      <c r="L24" s="151">
        <f>_xlfn.VAR.S(AR3:AR7)</f>
        <v>0.59864204393119091</v>
      </c>
      <c r="M24" s="143">
        <f t="shared" ref="M24:AK24" si="15">_xlfn.COVARIANCE.S($AR$3:$AR$7,AS3:AS7)</f>
        <v>2.855296016155871E-2</v>
      </c>
      <c r="N24" s="143">
        <f t="shared" si="15"/>
        <v>0.13208121983630175</v>
      </c>
      <c r="O24" s="143">
        <f t="shared" si="15"/>
        <v>-3.9454724451614034E-2</v>
      </c>
      <c r="P24" s="143">
        <f t="shared" si="15"/>
        <v>0.50044799200378642</v>
      </c>
      <c r="Q24" s="143">
        <f t="shared" si="15"/>
        <v>3.6133160432772725E-2</v>
      </c>
      <c r="R24" s="143">
        <f t="shared" si="15"/>
        <v>8.3533758935535867E-3</v>
      </c>
      <c r="S24" s="143">
        <f t="shared" si="15"/>
        <v>0.28809774509926966</v>
      </c>
      <c r="T24" s="143">
        <f t="shared" si="15"/>
        <v>-5.6869409592679727E-2</v>
      </c>
      <c r="U24" s="143">
        <f t="shared" si="15"/>
        <v>-8.0802173823627758E-3</v>
      </c>
      <c r="V24" s="143">
        <f t="shared" si="15"/>
        <v>5.4831730056483875E-2</v>
      </c>
      <c r="W24" s="143">
        <f t="shared" si="15"/>
        <v>-2.1456667669541898E-4</v>
      </c>
      <c r="X24" s="143">
        <f t="shared" si="15"/>
        <v>-8.4641764509223952E-3</v>
      </c>
      <c r="Y24" s="143">
        <f t="shared" si="15"/>
        <v>0.17701838498940248</v>
      </c>
      <c r="Z24" s="143">
        <f t="shared" si="15"/>
        <v>0.11470982747288579</v>
      </c>
      <c r="AA24" s="143">
        <f t="shared" si="15"/>
        <v>0.23993168388492447</v>
      </c>
      <c r="AB24" s="143">
        <f t="shared" si="15"/>
        <v>-0.15306884426197151</v>
      </c>
      <c r="AC24" s="143">
        <f t="shared" si="15"/>
        <v>0.19144157214144542</v>
      </c>
      <c r="AD24" s="143">
        <f t="shared" si="15"/>
        <v>-0.11666873268724394</v>
      </c>
      <c r="AE24" s="143">
        <f t="shared" si="15"/>
        <v>-0.20963511350188313</v>
      </c>
      <c r="AF24" s="143">
        <f t="shared" si="15"/>
        <v>7.6533479256549977E-2</v>
      </c>
      <c r="AG24" s="143">
        <f t="shared" si="15"/>
        <v>0.22527038391541079</v>
      </c>
      <c r="AH24" s="143">
        <f t="shared" si="15"/>
        <v>8.0696093469282026E-2</v>
      </c>
      <c r="AI24" s="143">
        <f t="shared" si="15"/>
        <v>-9.2843396056903962E-2</v>
      </c>
      <c r="AJ24" s="143">
        <f t="shared" si="15"/>
        <v>-6.9343043494436138E-2</v>
      </c>
      <c r="AK24" s="143">
        <f t="shared" si="15"/>
        <v>5.7322817401872624E-2</v>
      </c>
      <c r="AM24" s="119" t="s">
        <v>48</v>
      </c>
      <c r="AN24" s="119">
        <v>7.2103058008661219E-3</v>
      </c>
      <c r="AO24" s="119">
        <v>8.3837654938886761E-3</v>
      </c>
      <c r="AQ24" s="119" t="s">
        <v>48</v>
      </c>
      <c r="AR24" s="181">
        <v>1.5009054007795611E-3</v>
      </c>
      <c r="AS24" s="119">
        <f t="shared" si="14"/>
        <v>1.619872108366466E-3</v>
      </c>
      <c r="AT24" s="119">
        <v>1.619872108366466E-3</v>
      </c>
      <c r="BR24" s="156"/>
      <c r="BS24" s="156"/>
      <c r="BT24" s="156"/>
    </row>
    <row r="25" spans="1:72" ht="15.75">
      <c r="A25" s="128"/>
      <c r="B25" s="128" t="s">
        <v>117</v>
      </c>
      <c r="C25" s="140">
        <f>M15</f>
        <v>0</v>
      </c>
      <c r="D25" s="142">
        <f>M16</f>
        <v>1.231012401792776E-3</v>
      </c>
      <c r="E25" s="143">
        <f>M17</f>
        <v>4.4052023807418421E-3</v>
      </c>
      <c r="F25" s="143">
        <f>M18</f>
        <v>-1.8558010466830082E-3</v>
      </c>
      <c r="G25" s="143">
        <f>M19</f>
        <v>-7.8644578840095195E-2</v>
      </c>
      <c r="H25" s="143">
        <f>M20</f>
        <v>5.243920460389933E-2</v>
      </c>
      <c r="I25" s="143">
        <f>M21</f>
        <v>1.0667838464243897E-2</v>
      </c>
      <c r="J25" s="143">
        <f>M22</f>
        <v>-2.3546553300350819E-3</v>
      </c>
      <c r="K25" s="143">
        <f>M23</f>
        <v>-6.5642471664610867E-3</v>
      </c>
      <c r="L25" s="143">
        <f>M24</f>
        <v>2.855296016155871E-2</v>
      </c>
      <c r="M25" s="151">
        <f>_xlfn.VAR.S(AS3:AS7)</f>
        <v>9.577920492209957E-3</v>
      </c>
      <c r="N25" s="143">
        <f t="shared" ref="N25:AK25" si="16">_xlfn.COVARIANCE.S($AS$3:$AS$7,AT3:AT7)</f>
        <v>1.7327948394242832E-2</v>
      </c>
      <c r="O25" s="143">
        <f t="shared" si="16"/>
        <v>-2.0084838433602772E-3</v>
      </c>
      <c r="P25" s="143">
        <f t="shared" si="16"/>
        <v>1.5032652015775602E-2</v>
      </c>
      <c r="Q25" s="143">
        <f t="shared" si="16"/>
        <v>-3.1225875905749171E-4</v>
      </c>
      <c r="R25" s="143">
        <f t="shared" si="16"/>
        <v>-1.3413048002911896E-3</v>
      </c>
      <c r="S25" s="143">
        <f t="shared" si="16"/>
        <v>1.649500545760009E-2</v>
      </c>
      <c r="T25" s="143">
        <f t="shared" si="16"/>
        <v>-4.7479377898532328E-2</v>
      </c>
      <c r="U25" s="143">
        <f t="shared" si="16"/>
        <v>-3.0834950396664671E-3</v>
      </c>
      <c r="V25" s="143">
        <f t="shared" si="16"/>
        <v>2.713852657191406E-3</v>
      </c>
      <c r="W25" s="143">
        <f t="shared" si="16"/>
        <v>1.1850884279876387E-2</v>
      </c>
      <c r="X25" s="143">
        <f t="shared" si="16"/>
        <v>2.5565412803936555E-2</v>
      </c>
      <c r="Y25" s="143">
        <f t="shared" si="16"/>
        <v>2.6090655364110309E-3</v>
      </c>
      <c r="Z25" s="143">
        <f t="shared" si="16"/>
        <v>-2.387082227270822E-3</v>
      </c>
      <c r="AA25" s="143">
        <f t="shared" si="16"/>
        <v>7.2138798078182007E-3</v>
      </c>
      <c r="AB25" s="143">
        <f t="shared" si="16"/>
        <v>7.2417344703871846E-3</v>
      </c>
      <c r="AC25" s="143">
        <f t="shared" si="16"/>
        <v>-1.4197007482915252E-2</v>
      </c>
      <c r="AD25" s="143">
        <f t="shared" si="16"/>
        <v>4.8778120398437442E-3</v>
      </c>
      <c r="AE25" s="143">
        <f t="shared" si="16"/>
        <v>-8.7725495178574142E-4</v>
      </c>
      <c r="AF25" s="143">
        <f t="shared" si="16"/>
        <v>4.1635745067042243E-3</v>
      </c>
      <c r="AG25" s="143">
        <f t="shared" si="16"/>
        <v>1.784226207265614E-3</v>
      </c>
      <c r="AH25" s="143">
        <f t="shared" si="16"/>
        <v>6.3315620247056219E-3</v>
      </c>
      <c r="AI25" s="143">
        <f t="shared" si="16"/>
        <v>3.4634553601164525E-3</v>
      </c>
      <c r="AJ25" s="143">
        <f t="shared" si="16"/>
        <v>-9.0592918683448688E-3</v>
      </c>
      <c r="AK25" s="143">
        <f t="shared" si="16"/>
        <v>1.7733698682829618E-2</v>
      </c>
      <c r="AM25" s="119" t="s">
        <v>51</v>
      </c>
      <c r="AN25" s="119">
        <v>6.0508431675349687E-2</v>
      </c>
      <c r="AO25" s="119">
        <v>7.0356031433254931E-2</v>
      </c>
      <c r="AQ25" s="119" t="s">
        <v>51</v>
      </c>
      <c r="AR25" s="181">
        <v>4.0453767383751255E-2</v>
      </c>
      <c r="AS25" s="119">
        <f t="shared" si="14"/>
        <v>4.3660266282770303E-2</v>
      </c>
      <c r="AT25" s="119">
        <v>4.3660266282770303E-2</v>
      </c>
      <c r="BR25" s="156"/>
      <c r="BS25" s="156"/>
      <c r="BT25" s="156"/>
    </row>
    <row r="26" spans="1:72" ht="15.75">
      <c r="A26" s="128"/>
      <c r="B26" s="128" t="s">
        <v>118</v>
      </c>
      <c r="C26" s="140">
        <f>N15</f>
        <v>2.2132790076932803E-2</v>
      </c>
      <c r="D26" s="142">
        <f>N16</f>
        <v>1.9064279166985287E-2</v>
      </c>
      <c r="E26" s="143">
        <f>N17</f>
        <v>2.3575708785673225E-2</v>
      </c>
      <c r="F26" s="143">
        <f>N18</f>
        <v>8.7965280677176228E-3</v>
      </c>
      <c r="G26" s="143">
        <f>N19</f>
        <v>-9.9447092416939067E-2</v>
      </c>
      <c r="H26" s="143">
        <f>N20</f>
        <v>0.16977463402336138</v>
      </c>
      <c r="I26" s="143">
        <f>N21</f>
        <v>2.640413360346076E-2</v>
      </c>
      <c r="J26" s="143">
        <f>N22</f>
        <v>-3.0395389970622453E-3</v>
      </c>
      <c r="K26" s="143">
        <f>N23</f>
        <v>-2.4976618411534323E-2</v>
      </c>
      <c r="L26" s="143">
        <f>N24</f>
        <v>0.13208121983630175</v>
      </c>
      <c r="M26" s="143">
        <f>N25</f>
        <v>1.7327948394242832E-2</v>
      </c>
      <c r="N26" s="151">
        <f>_xlfn.VAR.S(AT3:AT7)</f>
        <v>5.0313236001675817E-2</v>
      </c>
      <c r="O26" s="143">
        <f t="shared" ref="O26:AK26" si="17">_xlfn.COVARIANCE.S($AT$3:$AT$7,AU3:AU7)</f>
        <v>-1.1385680223022934E-2</v>
      </c>
      <c r="P26" s="143">
        <f t="shared" si="17"/>
        <v>0.13051621728085014</v>
      </c>
      <c r="Q26" s="143">
        <f t="shared" si="17"/>
        <v>4.9236189570120428E-3</v>
      </c>
      <c r="R26" s="143">
        <f t="shared" si="17"/>
        <v>-5.3233975343383207E-3</v>
      </c>
      <c r="S26" s="143">
        <f t="shared" si="17"/>
        <v>7.1880673577058185E-2</v>
      </c>
      <c r="T26" s="143">
        <f t="shared" si="17"/>
        <v>-6.6319647635134857E-2</v>
      </c>
      <c r="U26" s="143">
        <f t="shared" si="17"/>
        <v>-1.8638577898088631E-2</v>
      </c>
      <c r="V26" s="143">
        <f t="shared" si="17"/>
        <v>-1.6795935276107624E-2</v>
      </c>
      <c r="W26" s="143">
        <f t="shared" si="17"/>
        <v>7.1326275055847987E-3</v>
      </c>
      <c r="X26" s="143">
        <f t="shared" si="17"/>
        <v>1.2785960906445447E-2</v>
      </c>
      <c r="Y26" s="143">
        <f t="shared" si="17"/>
        <v>4.3114422450902912E-2</v>
      </c>
      <c r="Z26" s="143">
        <f t="shared" si="17"/>
        <v>9.0793381584126781E-3</v>
      </c>
      <c r="AA26" s="143">
        <f t="shared" si="17"/>
        <v>4.58862703862149E-2</v>
      </c>
      <c r="AB26" s="143">
        <f t="shared" si="17"/>
        <v>-6.8168528307641389E-3</v>
      </c>
      <c r="AC26" s="143">
        <f t="shared" si="17"/>
        <v>1.269200091134152E-2</v>
      </c>
      <c r="AD26" s="143">
        <f t="shared" si="17"/>
        <v>7.1250320951884299E-4</v>
      </c>
      <c r="AE26" s="143">
        <f t="shared" si="17"/>
        <v>-1.4703871606533156E-2</v>
      </c>
      <c r="AF26" s="143">
        <f t="shared" si="17"/>
        <v>5.7089322354323168E-3</v>
      </c>
      <c r="AG26" s="143">
        <f t="shared" si="17"/>
        <v>3.8556188989188965E-2</v>
      </c>
      <c r="AH26" s="143">
        <f t="shared" si="17"/>
        <v>2.0481384692296895E-2</v>
      </c>
      <c r="AI26" s="143">
        <f t="shared" si="17"/>
        <v>-1.1998860879192372E-2</v>
      </c>
      <c r="AJ26" s="143">
        <f t="shared" si="17"/>
        <v>-3.2937718151466712E-2</v>
      </c>
      <c r="AK26" s="143">
        <f t="shared" si="17"/>
        <v>2.0507780649203011E-2</v>
      </c>
      <c r="AM26" s="119" t="s">
        <v>53</v>
      </c>
      <c r="AN26" s="119">
        <v>6.2418847786990337E-3</v>
      </c>
      <c r="AO26" s="119">
        <v>7.2577363110174643E-3</v>
      </c>
      <c r="AQ26" s="119" t="s">
        <v>53</v>
      </c>
      <c r="AR26" s="181">
        <v>3.2721974697636151E-2</v>
      </c>
      <c r="AS26" s="119">
        <f t="shared" si="14"/>
        <v>3.531562623190198E-2</v>
      </c>
      <c r="AT26" s="119">
        <v>3.531562623190198E-2</v>
      </c>
      <c r="BR26" s="156"/>
      <c r="BS26" s="156"/>
      <c r="BT26" s="156"/>
    </row>
    <row r="27" spans="1:72" ht="15.75">
      <c r="A27" s="128"/>
      <c r="B27" s="128" t="s">
        <v>119</v>
      </c>
      <c r="C27" s="140">
        <f>O15</f>
        <v>3.329226291024176E-2</v>
      </c>
      <c r="D27" s="142">
        <f>O16</f>
        <v>-7.2455642239431387E-3</v>
      </c>
      <c r="E27" s="143">
        <f>O17</f>
        <v>-7.3729203399922104E-3</v>
      </c>
      <c r="F27" s="143">
        <f>O18</f>
        <v>-4.747856728560919E-3</v>
      </c>
      <c r="G27" s="143">
        <f>O19</f>
        <v>-9.6425367928167441E-4</v>
      </c>
      <c r="H27" s="143">
        <f>O20</f>
        <v>-4.1751795887269627E-2</v>
      </c>
      <c r="I27" s="143">
        <f>O21</f>
        <v>-5.2190555458082556E-3</v>
      </c>
      <c r="J27" s="143">
        <f>O22</f>
        <v>4.8227439107573298E-5</v>
      </c>
      <c r="K27" s="143">
        <f>O23</f>
        <v>7.0524097626370038E-3</v>
      </c>
      <c r="L27" s="143">
        <f>O24</f>
        <v>-3.9454724451614034E-2</v>
      </c>
      <c r="M27" s="143">
        <f>O25</f>
        <v>-2.0084838433602772E-3</v>
      </c>
      <c r="N27" s="143">
        <f>O26</f>
        <v>-1.1385680223022934E-2</v>
      </c>
      <c r="O27" s="151">
        <f>_xlfn.VAR.S(AU3:AU7)</f>
        <v>3.5920005615048497E-3</v>
      </c>
      <c r="P27" s="143">
        <f t="shared" ref="P27:AK27" si="18">_xlfn.COVARIANCE.S($AU$3:$AU$7,AV3:AV7)</f>
        <v>-4.5446314422851235E-2</v>
      </c>
      <c r="Q27" s="143">
        <f t="shared" si="18"/>
        <v>-2.2254092065965756E-3</v>
      </c>
      <c r="R27" s="143">
        <f t="shared" si="18"/>
        <v>1.3807929413383836E-3</v>
      </c>
      <c r="S27" s="143">
        <f t="shared" si="18"/>
        <v>-2.0851328995710194E-2</v>
      </c>
      <c r="T27" s="143">
        <f t="shared" si="18"/>
        <v>1.9478822871928966E-3</v>
      </c>
      <c r="U27" s="143">
        <f t="shared" si="18"/>
        <v>5.7911787471573205E-3</v>
      </c>
      <c r="V27" s="143">
        <f t="shared" si="18"/>
        <v>7.8270097724255881E-3</v>
      </c>
      <c r="W27" s="143">
        <f t="shared" si="18"/>
        <v>3.2770437011767953E-3</v>
      </c>
      <c r="X27" s="143">
        <f t="shared" si="18"/>
        <v>8.122219903694659E-3</v>
      </c>
      <c r="Y27" s="143">
        <f t="shared" si="18"/>
        <v>-1.6263537019189565E-2</v>
      </c>
      <c r="Z27" s="143">
        <f t="shared" si="18"/>
        <v>-5.1992996447963067E-3</v>
      </c>
      <c r="AA27" s="143">
        <f t="shared" si="18"/>
        <v>-1.5206641495368189E-2</v>
      </c>
      <c r="AB27" s="143">
        <f t="shared" si="18"/>
        <v>6.9330494806728272E-3</v>
      </c>
      <c r="AC27" s="143">
        <f t="shared" si="18"/>
        <v>-1.2953907516412753E-2</v>
      </c>
      <c r="AD27" s="143">
        <f t="shared" si="18"/>
        <v>2.6255355893972051E-3</v>
      </c>
      <c r="AE27" s="143">
        <f t="shared" si="18"/>
        <v>6.065500877440573E-3</v>
      </c>
      <c r="AF27" s="143">
        <f t="shared" si="18"/>
        <v>-3.7436750051307761E-4</v>
      </c>
      <c r="AG27" s="143">
        <f t="shared" si="18"/>
        <v>-1.5056048563859179E-2</v>
      </c>
      <c r="AH27" s="143">
        <f t="shared" si="18"/>
        <v>-5.0983501543807241E-3</v>
      </c>
      <c r="AI27" s="143">
        <f t="shared" si="18"/>
        <v>6.8280803162394793E-3</v>
      </c>
      <c r="AJ27" s="143">
        <f t="shared" si="18"/>
        <v>8.5684745090406165E-3</v>
      </c>
      <c r="AK27" s="143">
        <f t="shared" si="18"/>
        <v>8.2901587734780704E-4</v>
      </c>
      <c r="AM27" s="119" t="s">
        <v>24</v>
      </c>
      <c r="AN27" s="119">
        <v>5.4140695875838044E-2</v>
      </c>
      <c r="AO27" s="119">
        <v>6.2951962154566013E-2</v>
      </c>
      <c r="AQ27" s="119" t="s">
        <v>24</v>
      </c>
      <c r="AR27" s="181">
        <v>4.1126740334595159E-2</v>
      </c>
      <c r="AS27" s="119">
        <f t="shared" si="14"/>
        <v>4.4386581287160928E-2</v>
      </c>
      <c r="AT27" s="119">
        <v>4.4386581287160928E-2</v>
      </c>
      <c r="BR27" s="156"/>
      <c r="BS27" s="156"/>
      <c r="BT27" s="156"/>
    </row>
    <row r="28" spans="1:72" ht="15.75">
      <c r="A28" s="128"/>
      <c r="B28" s="128" t="s">
        <v>120</v>
      </c>
      <c r="C28" s="140">
        <f>P15</f>
        <v>4.4386581287160928E-2</v>
      </c>
      <c r="D28" s="142">
        <f>P16</f>
        <v>9.6758220470936199E-2</v>
      </c>
      <c r="E28" s="143">
        <f>P17</f>
        <v>9.3999741313643928E-2</v>
      </c>
      <c r="F28" s="143">
        <f>P18</f>
        <v>6.8285709159110072E-2</v>
      </c>
      <c r="G28" s="143">
        <f>P19</f>
        <v>0.10836533157104307</v>
      </c>
      <c r="H28" s="143">
        <f>P20</f>
        <v>0.49442879403830592</v>
      </c>
      <c r="I28" s="143">
        <f>P21</f>
        <v>5.7749413153804358E-2</v>
      </c>
      <c r="J28" s="143">
        <f>P22</f>
        <v>1.3799646969843299E-3</v>
      </c>
      <c r="K28" s="143">
        <f>P23</f>
        <v>-9.1139181488606322E-2</v>
      </c>
      <c r="L28" s="143">
        <f>P24</f>
        <v>0.50044799200378642</v>
      </c>
      <c r="M28" s="143">
        <f>P25</f>
        <v>1.5032652015775602E-2</v>
      </c>
      <c r="N28" s="143">
        <f>P26</f>
        <v>0.13051621728085014</v>
      </c>
      <c r="O28" s="143">
        <f>P27</f>
        <v>-4.5446314422851235E-2</v>
      </c>
      <c r="P28" s="151">
        <f>_xlfn.VAR.S(AV3:AV7)</f>
        <v>0.58826331412568589</v>
      </c>
      <c r="Q28" s="143">
        <f t="shared" ref="Q28:AK28" si="19">_xlfn.COVARIANCE.S($AV$3:$AV$7,AW3:AW7)</f>
        <v>3.0809025604115508E-2</v>
      </c>
      <c r="R28" s="143">
        <f t="shared" si="19"/>
        <v>-1.5391257577357979E-2</v>
      </c>
      <c r="S28" s="143">
        <f t="shared" si="19"/>
        <v>0.26106477687521529</v>
      </c>
      <c r="T28" s="143">
        <f t="shared" si="19"/>
        <v>3.2310373093925891E-2</v>
      </c>
      <c r="U28" s="143">
        <f t="shared" si="19"/>
        <v>-7.0268749240552639E-2</v>
      </c>
      <c r="V28" s="143">
        <f t="shared" si="19"/>
        <v>-9.9935339178737245E-2</v>
      </c>
      <c r="W28" s="143">
        <f t="shared" si="19"/>
        <v>-5.6802705799002602E-2</v>
      </c>
      <c r="X28" s="143">
        <f t="shared" si="19"/>
        <v>-0.13640156176402637</v>
      </c>
      <c r="Y28" s="143">
        <f t="shared" si="19"/>
        <v>0.21392158943654685</v>
      </c>
      <c r="Z28" s="143">
        <f t="shared" si="19"/>
        <v>7.583291795138776E-2</v>
      </c>
      <c r="AA28" s="143">
        <f t="shared" si="19"/>
        <v>0.19823411025198792</v>
      </c>
      <c r="AB28" s="143">
        <f t="shared" si="19"/>
        <v>-0.106288005907477</v>
      </c>
      <c r="AC28" s="143">
        <f t="shared" si="19"/>
        <v>0.19399266309211297</v>
      </c>
      <c r="AD28" s="143">
        <f t="shared" si="19"/>
        <v>-4.6347992817694111E-2</v>
      </c>
      <c r="AE28" s="143">
        <f t="shared" si="19"/>
        <v>-8.8176160305886112E-2</v>
      </c>
      <c r="AF28" s="143">
        <f t="shared" si="19"/>
        <v>3.8789500925614693E-3</v>
      </c>
      <c r="AG28" s="143">
        <f t="shared" si="19"/>
        <v>0.20237786385566739</v>
      </c>
      <c r="AH28" s="143">
        <f t="shared" si="19"/>
        <v>6.1500388024298969E-2</v>
      </c>
      <c r="AI28" s="143">
        <f t="shared" si="19"/>
        <v>-9.6677630217683899E-2</v>
      </c>
      <c r="AJ28" s="143">
        <f t="shared" si="19"/>
        <v>-0.10155396920127674</v>
      </c>
      <c r="AK28" s="143">
        <f t="shared" si="19"/>
        <v>-2.9805573902636381E-2</v>
      </c>
      <c r="AM28" s="119" t="s">
        <v>56</v>
      </c>
      <c r="AN28" s="119">
        <v>4.6279159721616392E-2</v>
      </c>
      <c r="AO28" s="119">
        <v>5.3810980154772814E-2</v>
      </c>
      <c r="AQ28" s="119" t="s">
        <v>56</v>
      </c>
      <c r="AR28" s="181">
        <v>4.8061337361889986E-2</v>
      </c>
      <c r="AS28" s="119">
        <f t="shared" si="14"/>
        <v>5.1870837324511095E-2</v>
      </c>
      <c r="AT28" s="119">
        <v>5.1870837324511095E-2</v>
      </c>
      <c r="BR28" s="156"/>
      <c r="BS28" s="156"/>
      <c r="BT28" s="156"/>
    </row>
    <row r="29" spans="1:72" ht="15.75">
      <c r="B29" s="128" t="s">
        <v>122</v>
      </c>
      <c r="C29" s="140">
        <f>Q15</f>
        <v>0.16230466159389106</v>
      </c>
      <c r="D29" s="143">
        <f>Q16</f>
        <v>7.2753473983194691E-3</v>
      </c>
      <c r="E29" s="143">
        <f>Q17</f>
        <v>6.0004558142688486E-3</v>
      </c>
      <c r="F29" s="143">
        <f>Q18</f>
        <v>7.5098564154163043E-3</v>
      </c>
      <c r="G29" s="143">
        <f>Q19</f>
        <v>1.372798884136424E-2</v>
      </c>
      <c r="H29" s="143">
        <f>Q20</f>
        <v>2.3155948510734436E-2</v>
      </c>
      <c r="I29" s="143">
        <f>Q21</f>
        <v>3.5240045298546817E-3</v>
      </c>
      <c r="J29" s="143">
        <f>Q22</f>
        <v>-8.1163869675305418E-4</v>
      </c>
      <c r="K29" s="143">
        <f>Q23</f>
        <v>-1.1044348867552111E-2</v>
      </c>
      <c r="L29" s="143">
        <f>Q24</f>
        <v>3.6133160432772725E-2</v>
      </c>
      <c r="M29" s="143">
        <f>Q25</f>
        <v>-3.1225875905749171E-4</v>
      </c>
      <c r="N29" s="143">
        <f>Q26</f>
        <v>4.9236189570120428E-3</v>
      </c>
      <c r="O29" s="143">
        <f>Q27</f>
        <v>-2.2254092065965756E-3</v>
      </c>
      <c r="P29" s="143">
        <f>Q28</f>
        <v>3.0809025604115508E-2</v>
      </c>
      <c r="Q29" s="151">
        <f>_xlfn.VAR.S(AW3:AW7)</f>
        <v>2.7010167425540535E-3</v>
      </c>
      <c r="R29" s="143">
        <f t="shared" ref="R29:AK29" si="20">_xlfn.COVARIANCE.S($AW$3:$AW$7,AX3:AX7)</f>
        <v>1.1751002998737034E-3</v>
      </c>
      <c r="S29" s="143">
        <f t="shared" si="20"/>
        <v>1.6477486595180491E-2</v>
      </c>
      <c r="T29" s="143">
        <f t="shared" si="20"/>
        <v>7.3456304151875542E-3</v>
      </c>
      <c r="U29" s="143">
        <f t="shared" si="20"/>
        <v>8.378218474719033E-4</v>
      </c>
      <c r="V29" s="143">
        <f t="shared" si="20"/>
        <v>4.7261718093468E-3</v>
      </c>
      <c r="W29" s="143">
        <f t="shared" si="20"/>
        <v>-2.5178030934349879E-3</v>
      </c>
      <c r="X29" s="143">
        <f t="shared" si="20"/>
        <v>-5.9421379029211407E-3</v>
      </c>
      <c r="Y29" s="143">
        <f t="shared" si="20"/>
        <v>1.1539820468688356E-2</v>
      </c>
      <c r="Z29" s="143">
        <f t="shared" si="20"/>
        <v>9.1528265547411135E-3</v>
      </c>
      <c r="AA29" s="143">
        <f t="shared" si="20"/>
        <v>1.5598149385792579E-2</v>
      </c>
      <c r="AB29" s="143">
        <f t="shared" si="20"/>
        <v>-1.3211326511003041E-2</v>
      </c>
      <c r="AC29" s="143">
        <f t="shared" si="20"/>
        <v>1.7247403023169437E-2</v>
      </c>
      <c r="AD29" s="143">
        <f t="shared" si="20"/>
        <v>-1.0246715827303285E-2</v>
      </c>
      <c r="AE29" s="143">
        <f t="shared" si="20"/>
        <v>-1.5871732993366985E-2</v>
      </c>
      <c r="AF29" s="143">
        <f t="shared" si="20"/>
        <v>5.0813875322420626E-3</v>
      </c>
      <c r="AG29" s="143">
        <f t="shared" si="20"/>
        <v>1.5773337266900094E-2</v>
      </c>
      <c r="AH29" s="143">
        <f t="shared" si="20"/>
        <v>4.2881115696688709E-3</v>
      </c>
      <c r="AI29" s="143">
        <f t="shared" si="20"/>
        <v>-7.4545936984476381E-3</v>
      </c>
      <c r="AJ29" s="143">
        <f t="shared" si="20"/>
        <v>-2.2679375233692219E-3</v>
      </c>
      <c r="AK29" s="143">
        <f t="shared" si="20"/>
        <v>3.5281629224219344E-4</v>
      </c>
      <c r="AM29" s="119" t="s">
        <v>59</v>
      </c>
      <c r="AN29" s="119">
        <v>3.2784051837827172E-3</v>
      </c>
      <c r="AO29" s="119">
        <v>3.811957635899671E-3</v>
      </c>
      <c r="AQ29" s="119" t="s">
        <v>59</v>
      </c>
      <c r="AR29" s="181">
        <v>2.5244338816346255E-3</v>
      </c>
      <c r="AS29" s="119">
        <f t="shared" si="14"/>
        <v>2.7245288291662391E-3</v>
      </c>
      <c r="AT29" s="119">
        <v>2.7245288291662391E-3</v>
      </c>
      <c r="BR29" s="156"/>
      <c r="BS29" s="156"/>
      <c r="BT29" s="156"/>
    </row>
    <row r="30" spans="1:72" ht="15.75">
      <c r="B30" s="128" t="s">
        <v>123</v>
      </c>
      <c r="C30" s="140">
        <f>R15</f>
        <v>2.1293446165383475E-2</v>
      </c>
      <c r="D30" s="143">
        <f>R16</f>
        <v>1.6201485049419336E-3</v>
      </c>
      <c r="E30" s="143">
        <f>R17</f>
        <v>-9.2723226807196288E-5</v>
      </c>
      <c r="F30" s="143">
        <f>R18</f>
        <v>5.4288404786477411E-3</v>
      </c>
      <c r="G30" s="143">
        <f>R19</f>
        <v>2.2684615725499968E-3</v>
      </c>
      <c r="H30" s="143">
        <f>R20</f>
        <v>-1.3090080664722994E-2</v>
      </c>
      <c r="I30" s="143">
        <f>R21</f>
        <v>6.6519624169332839E-4</v>
      </c>
      <c r="J30" s="143">
        <f>R22</f>
        <v>-2.0751933381279626E-3</v>
      </c>
      <c r="K30" s="143">
        <f>R23</f>
        <v>-1.042137059691872E-2</v>
      </c>
      <c r="L30" s="143">
        <f>R24</f>
        <v>8.3533758935535867E-3</v>
      </c>
      <c r="M30" s="143">
        <f>R25</f>
        <v>-1.3413048002911896E-3</v>
      </c>
      <c r="N30" s="143">
        <f>R26</f>
        <v>-5.3233975343383207E-3</v>
      </c>
      <c r="O30" s="143">
        <f>R27</f>
        <v>1.3807929413383836E-3</v>
      </c>
      <c r="P30" s="143">
        <f>R28</f>
        <v>-1.5391257577357979E-2</v>
      </c>
      <c r="Q30" s="143">
        <f>R29</f>
        <v>1.1751002998737034E-3</v>
      </c>
      <c r="R30" s="151">
        <f>_xlfn.VAR.S(AX3:AX7)</f>
        <v>4.1498855888747188E-3</v>
      </c>
      <c r="S30" s="143">
        <f t="shared" ref="S30:AK30" si="21">_xlfn.COVARIANCE.S($AX$3:$AX$7,AY3:AY7)</f>
        <v>-6.7659740397857618E-5</v>
      </c>
      <c r="T30" s="143">
        <f t="shared" si="21"/>
        <v>3.8936588452007409E-3</v>
      </c>
      <c r="U30" s="143">
        <f t="shared" si="21"/>
        <v>1.0497911763531325E-2</v>
      </c>
      <c r="V30" s="143">
        <f t="shared" si="21"/>
        <v>2.2763109206413876E-2</v>
      </c>
      <c r="W30" s="143">
        <f t="shared" si="21"/>
        <v>4.1161824693524444E-3</v>
      </c>
      <c r="X30" s="143">
        <f t="shared" si="21"/>
        <v>9.7096692537127702E-3</v>
      </c>
      <c r="Y30" s="143">
        <f t="shared" si="21"/>
        <v>-5.3133556210162277E-3</v>
      </c>
      <c r="Z30" s="143">
        <f t="shared" si="21"/>
        <v>7.5746667827721751E-3</v>
      </c>
      <c r="AA30" s="143">
        <f t="shared" si="21"/>
        <v>5.285387270656975E-3</v>
      </c>
      <c r="AB30" s="143">
        <f t="shared" si="21"/>
        <v>-1.0855679195300621E-2</v>
      </c>
      <c r="AC30" s="143">
        <f t="shared" si="21"/>
        <v>6.2714015064924663E-3</v>
      </c>
      <c r="AD30" s="143">
        <f t="shared" si="21"/>
        <v>-1.3273767094592145E-2</v>
      </c>
      <c r="AE30" s="143">
        <f t="shared" si="21"/>
        <v>-1.9501509447037855E-2</v>
      </c>
      <c r="AF30" s="143">
        <f t="shared" si="21"/>
        <v>9.9606092890475034E-3</v>
      </c>
      <c r="AG30" s="143">
        <f t="shared" si="21"/>
        <v>4.3724766821577775E-3</v>
      </c>
      <c r="AH30" s="143">
        <f t="shared" si="21"/>
        <v>1.0974931584153136E-3</v>
      </c>
      <c r="AI30" s="143">
        <f t="shared" si="21"/>
        <v>-1.3680534072030568E-3</v>
      </c>
      <c r="AJ30" s="143">
        <f t="shared" si="21"/>
        <v>7.7737633239571132E-3</v>
      </c>
      <c r="AK30" s="143">
        <f t="shared" si="21"/>
        <v>6.9340569686734167E-3</v>
      </c>
      <c r="AM30" s="119" t="s">
        <v>61</v>
      </c>
      <c r="AN30" s="119">
        <v>1.5685181892167704E-2</v>
      </c>
      <c r="AO30" s="119">
        <v>1.8237907010424832E-2</v>
      </c>
      <c r="AQ30" s="119" t="s">
        <v>61</v>
      </c>
      <c r="AR30" s="181">
        <v>1.5895271181174887E-2</v>
      </c>
      <c r="AS30" s="119">
        <f t="shared" si="14"/>
        <v>1.7155182750313896E-2</v>
      </c>
      <c r="AT30" s="119">
        <v>1.7155182750313896E-2</v>
      </c>
      <c r="BR30" s="156"/>
      <c r="BS30" s="156"/>
      <c r="BT30" s="156"/>
    </row>
    <row r="31" spans="1:72" ht="15.75">
      <c r="B31" s="128" t="s">
        <v>124</v>
      </c>
      <c r="C31" s="140">
        <f>S15</f>
        <v>0</v>
      </c>
      <c r="D31" s="143">
        <f>S16</f>
        <v>5.0186764447094682E-2</v>
      </c>
      <c r="E31" s="143">
        <f>S17</f>
        <v>4.9339082229415E-2</v>
      </c>
      <c r="F31" s="143">
        <f>S18</f>
        <v>4.1039620983272428E-2</v>
      </c>
      <c r="G31" s="143">
        <f>S19</f>
        <v>-4.5912623870499623E-2</v>
      </c>
      <c r="H31" s="143">
        <f>S20</f>
        <v>0.2703707332500081</v>
      </c>
      <c r="I31" s="143">
        <f>S21</f>
        <v>4.2106578114903648E-2</v>
      </c>
      <c r="J31" s="143">
        <f>S22</f>
        <v>-6.8109368533556041E-3</v>
      </c>
      <c r="K31" s="143">
        <f>S23</f>
        <v>-7.3187674829213858E-2</v>
      </c>
      <c r="L31" s="143">
        <f>S24</f>
        <v>0.28809774509926966</v>
      </c>
      <c r="M31" s="143">
        <f>S25</f>
        <v>1.649500545760009E-2</v>
      </c>
      <c r="N31" s="143">
        <f>S26</f>
        <v>7.1880673577058185E-2</v>
      </c>
      <c r="O31" s="143">
        <f>S27</f>
        <v>-2.0851328995710194E-2</v>
      </c>
      <c r="P31" s="143">
        <f>S28</f>
        <v>0.26106477687521529</v>
      </c>
      <c r="Q31" s="143">
        <f>S29</f>
        <v>1.6477486595180491E-2</v>
      </c>
      <c r="R31" s="143">
        <f>S30</f>
        <v>-6.7659740397857618E-5</v>
      </c>
      <c r="S31" s="151">
        <f>_xlfn.VAR.S(AY3:AY7)</f>
        <v>0.14292198562148659</v>
      </c>
      <c r="T31" s="143">
        <f t="shared" ref="T31:AK31" si="22">_xlfn.COVARIANCE.S($AY$3:$AY$7,AZ3:AZ7)</f>
        <v>-3.779091715133668E-2</v>
      </c>
      <c r="U31" s="143">
        <f t="shared" si="22"/>
        <v>-1.4393150438987222E-2</v>
      </c>
      <c r="V31" s="143">
        <f t="shared" si="22"/>
        <v>5.3652478222838236E-3</v>
      </c>
      <c r="W31" s="143">
        <f t="shared" si="22"/>
        <v>-2.4683707889021022E-3</v>
      </c>
      <c r="X31" s="143">
        <f t="shared" si="22"/>
        <v>-1.0025375704191377E-2</v>
      </c>
      <c r="Y31" s="143">
        <f t="shared" si="22"/>
        <v>9.1859309604636744E-2</v>
      </c>
      <c r="Z31" s="143">
        <f t="shared" si="22"/>
        <v>4.8448915720070714E-2</v>
      </c>
      <c r="AA31" s="143">
        <f t="shared" si="22"/>
        <v>0.11305368541212409</v>
      </c>
      <c r="AB31" s="143">
        <f t="shared" si="22"/>
        <v>-6.339668185832098E-2</v>
      </c>
      <c r="AC31" s="143">
        <f t="shared" si="22"/>
        <v>8.5593639478810477E-2</v>
      </c>
      <c r="AD31" s="143">
        <f t="shared" si="22"/>
        <v>-4.3625083044149693E-2</v>
      </c>
      <c r="AE31" s="143">
        <f t="shared" si="22"/>
        <v>-8.3825803278859759E-2</v>
      </c>
      <c r="AF31" s="143">
        <f t="shared" si="22"/>
        <v>2.8396326078526601E-2</v>
      </c>
      <c r="AG31" s="143">
        <f t="shared" si="22"/>
        <v>0.10604756494428076</v>
      </c>
      <c r="AH31" s="143">
        <f t="shared" si="22"/>
        <v>3.919187718441141E-2</v>
      </c>
      <c r="AI31" s="143">
        <f t="shared" si="22"/>
        <v>-4.3564552587789442E-2</v>
      </c>
      <c r="AJ31" s="143">
        <f t="shared" si="22"/>
        <v>-4.2493704323251086E-2</v>
      </c>
      <c r="AK31" s="143">
        <f t="shared" si="22"/>
        <v>2.3711209744005323E-2</v>
      </c>
      <c r="AM31" s="119" t="s">
        <v>63</v>
      </c>
      <c r="AN31" s="119">
        <v>2.9337355187943608E-2</v>
      </c>
      <c r="AO31" s="119">
        <v>3.4111938231120853E-2</v>
      </c>
      <c r="AQ31" s="119" t="s">
        <v>63</v>
      </c>
      <c r="AR31" s="181">
        <v>2.9520646044798517E-2</v>
      </c>
      <c r="AS31" s="119">
        <f t="shared" si="14"/>
        <v>3.1860549721581859E-2</v>
      </c>
      <c r="AT31" s="119">
        <v>3.1860549721581859E-2</v>
      </c>
      <c r="BR31" s="156"/>
      <c r="BS31" s="156"/>
      <c r="BT31" s="156"/>
    </row>
    <row r="32" spans="1:72" ht="15.75">
      <c r="B32" s="128" t="s">
        <v>125</v>
      </c>
      <c r="C32" s="140">
        <f>T15</f>
        <v>1.619872108366466E-3</v>
      </c>
      <c r="D32" s="143">
        <f>T16</f>
        <v>1.1571188302899211E-2</v>
      </c>
      <c r="E32" s="143">
        <f>T17</f>
        <v>-5.532102791856789E-3</v>
      </c>
      <c r="F32" s="143">
        <f>T18</f>
        <v>2.2216022445226889E-2</v>
      </c>
      <c r="G32" s="143">
        <f>T19</f>
        <v>0.4339266252752681</v>
      </c>
      <c r="H32" s="143">
        <f>T20</f>
        <v>-0.18224192121362615</v>
      </c>
      <c r="I32" s="143">
        <f>T21</f>
        <v>-4.5331346109565372E-2</v>
      </c>
      <c r="J32" s="143">
        <f>T22</f>
        <v>1.2784130671987623E-2</v>
      </c>
      <c r="K32" s="143">
        <f>T23</f>
        <v>1.8124139435988614E-2</v>
      </c>
      <c r="L32" s="143">
        <f>T24</f>
        <v>-5.6869409592679727E-2</v>
      </c>
      <c r="M32" s="143">
        <f>T25</f>
        <v>-4.7479377898532328E-2</v>
      </c>
      <c r="N32" s="143">
        <f>T26</f>
        <v>-6.6319647635134857E-2</v>
      </c>
      <c r="O32" s="143">
        <f>T27</f>
        <v>1.9478822871928966E-3</v>
      </c>
      <c r="P32" s="143">
        <f>T28</f>
        <v>3.2310373093925891E-2</v>
      </c>
      <c r="Q32" s="143">
        <f>T29</f>
        <v>7.3456304151875542E-3</v>
      </c>
      <c r="R32" s="143">
        <f>T30</f>
        <v>3.8936588452007409E-3</v>
      </c>
      <c r="S32" s="143">
        <f>T31</f>
        <v>-3.779091715133668E-2</v>
      </c>
      <c r="T32" s="151">
        <f>_xlfn.VAR.S(AZ3:AZ7)</f>
        <v>0.25559048310890153</v>
      </c>
      <c r="U32" s="143">
        <f t="shared" ref="U32:AK32" si="23">_xlfn.COVARIANCE.S($AZ$3:$AZ$7,BA3:BA7)</f>
        <v>2.3418583213629354E-3</v>
      </c>
      <c r="V32" s="143">
        <f t="shared" si="23"/>
        <v>-3.4536737986066504E-2</v>
      </c>
      <c r="W32" s="143">
        <f t="shared" si="23"/>
        <v>-7.3277463332859741E-2</v>
      </c>
      <c r="X32" s="143">
        <f t="shared" si="23"/>
        <v>-0.16073459667048015</v>
      </c>
      <c r="Y32" s="143">
        <f t="shared" si="23"/>
        <v>2.6764239099674018E-2</v>
      </c>
      <c r="Z32" s="143">
        <f t="shared" si="23"/>
        <v>2.628495786360659E-2</v>
      </c>
      <c r="AA32" s="143">
        <f t="shared" si="23"/>
        <v>-1.107174343676275E-3</v>
      </c>
      <c r="AB32" s="143">
        <f t="shared" si="23"/>
        <v>-5.7321883566924713E-2</v>
      </c>
      <c r="AC32" s="143">
        <f t="shared" si="23"/>
        <v>0.11067301575426643</v>
      </c>
      <c r="AD32" s="143">
        <f t="shared" si="23"/>
        <v>-3.3478606720028246E-2</v>
      </c>
      <c r="AE32" s="143">
        <f t="shared" si="23"/>
        <v>-1.0637134003464508E-2</v>
      </c>
      <c r="AF32" s="143">
        <f t="shared" si="23"/>
        <v>-2.1836527501346487E-2</v>
      </c>
      <c r="AG32" s="143">
        <f t="shared" si="23"/>
        <v>2.8295886503714687E-2</v>
      </c>
      <c r="AH32" s="143">
        <f t="shared" si="23"/>
        <v>-2.1843311162792017E-2</v>
      </c>
      <c r="AI32" s="143">
        <f t="shared" si="23"/>
        <v>-3.6270076445795885E-2</v>
      </c>
      <c r="AJ32" s="143">
        <f t="shared" si="23"/>
        <v>2.8090596848842641E-2</v>
      </c>
      <c r="AK32" s="143">
        <f t="shared" si="23"/>
        <v>-9.9347815294347983E-2</v>
      </c>
      <c r="AM32" s="119" t="s">
        <v>66</v>
      </c>
      <c r="AN32" s="119">
        <v>2.0612227500946607E-2</v>
      </c>
      <c r="AO32" s="119">
        <v>2.396681728171102E-2</v>
      </c>
      <c r="AQ32" s="119" t="s">
        <v>66</v>
      </c>
      <c r="AR32" s="181">
        <v>2.0560999940915502E-2</v>
      </c>
      <c r="AS32" s="119">
        <f t="shared" si="14"/>
        <v>2.2190732545245388E-2</v>
      </c>
      <c r="AT32" s="119">
        <v>2.2190732545245388E-2</v>
      </c>
      <c r="BR32" s="156"/>
      <c r="BS32" s="156"/>
      <c r="BT32" s="156"/>
    </row>
    <row r="33" spans="1:72" ht="15.75">
      <c r="B33" s="128" t="s">
        <v>126</v>
      </c>
      <c r="C33" s="140">
        <f>U15</f>
        <v>0</v>
      </c>
      <c r="D33" s="143">
        <f>U16</f>
        <v>-1.982930126770839E-3</v>
      </c>
      <c r="E33" s="143">
        <f>U17</f>
        <v>-5.4968491575599051E-3</v>
      </c>
      <c r="F33" s="143">
        <f>U18</f>
        <v>8.338423302875481E-3</v>
      </c>
      <c r="G33" s="143">
        <f>U19</f>
        <v>-9.2295203430462682E-3</v>
      </c>
      <c r="H33" s="143">
        <f>U20</f>
        <v>-5.5405892552166609E-2</v>
      </c>
      <c r="I33" s="143">
        <f>U21</f>
        <v>-8.8694194630234598E-4</v>
      </c>
      <c r="J33" s="143">
        <f>U22</f>
        <v>-5.1699933414919956E-3</v>
      </c>
      <c r="K33" s="143">
        <f>U23</f>
        <v>-1.9460379511036689E-2</v>
      </c>
      <c r="L33" s="143">
        <f>U24</f>
        <v>-8.0802173823627758E-3</v>
      </c>
      <c r="M33" s="143">
        <f>U25</f>
        <v>-3.0834950396664671E-3</v>
      </c>
      <c r="N33" s="143">
        <f>U26</f>
        <v>-1.8638577898088631E-2</v>
      </c>
      <c r="O33" s="143">
        <f>U27</f>
        <v>5.7911787471573205E-3</v>
      </c>
      <c r="P33" s="143">
        <f>U28</f>
        <v>-7.0268749240552639E-2</v>
      </c>
      <c r="Q33" s="143">
        <f>U29</f>
        <v>8.378218474719033E-4</v>
      </c>
      <c r="R33" s="143">
        <f>U30</f>
        <v>1.0497911763531325E-2</v>
      </c>
      <c r="S33" s="143">
        <f>U31</f>
        <v>-1.4393150438987222E-2</v>
      </c>
      <c r="T33" s="143">
        <f>U32</f>
        <v>2.3418583213629354E-3</v>
      </c>
      <c r="U33" s="151">
        <f>_xlfn.VAR.S(BA3:BA7)</f>
        <v>2.8495815620865728E-2</v>
      </c>
      <c r="V33" s="143">
        <f t="shared" ref="V33:AK33" si="24">_xlfn.COVARIANCE.S($BA$3:$BA$7,BB3:BB7)</f>
        <v>5.9543671523602876E-2</v>
      </c>
      <c r="W33" s="143">
        <f t="shared" si="24"/>
        <v>1.427132116900103E-2</v>
      </c>
      <c r="X33" s="143">
        <f t="shared" si="24"/>
        <v>3.357041301826489E-2</v>
      </c>
      <c r="Y33" s="143">
        <f t="shared" si="24"/>
        <v>-2.5178574252386374E-2</v>
      </c>
      <c r="Z33" s="143">
        <f t="shared" si="24"/>
        <v>1.2838784465094585E-2</v>
      </c>
      <c r="AA33" s="143">
        <f t="shared" si="24"/>
        <v>1.0041925215029436E-3</v>
      </c>
      <c r="AB33" s="143">
        <f t="shared" si="24"/>
        <v>-1.8160406043867799E-2</v>
      </c>
      <c r="AC33" s="143">
        <f t="shared" si="24"/>
        <v>1.4072063873060471E-3</v>
      </c>
      <c r="AD33" s="143">
        <f t="shared" si="24"/>
        <v>-2.7698682879264174E-2</v>
      </c>
      <c r="AE33" s="143">
        <f t="shared" si="24"/>
        <v>-4.0282354442350635E-2</v>
      </c>
      <c r="AF33" s="143">
        <f t="shared" si="24"/>
        <v>2.3455765482820665E-2</v>
      </c>
      <c r="AG33" s="143">
        <f t="shared" si="24"/>
        <v>-1.9286086052357116E-3</v>
      </c>
      <c r="AH33" s="143">
        <f t="shared" si="24"/>
        <v>-5.4260361896144667E-4</v>
      </c>
      <c r="AI33" s="143">
        <f t="shared" si="24"/>
        <v>3.0404008460843193E-3</v>
      </c>
      <c r="AJ33" s="143">
        <f t="shared" si="24"/>
        <v>2.3433697230870743E-2</v>
      </c>
      <c r="AK33" s="143">
        <f t="shared" si="24"/>
        <v>1.9804183670766428E-2</v>
      </c>
      <c r="AM33" s="119" t="s">
        <v>26</v>
      </c>
      <c r="AN33" s="119">
        <v>1.9154628687114487E-2</v>
      </c>
      <c r="AO33" s="119">
        <v>2.2271997814016477E-2</v>
      </c>
      <c r="AQ33" s="119" t="s">
        <v>26</v>
      </c>
      <c r="AR33" s="181">
        <v>1.9565885619701011E-2</v>
      </c>
      <c r="AS33" s="119">
        <f t="shared" si="14"/>
        <v>2.111674218400467E-2</v>
      </c>
      <c r="AT33" s="119">
        <v>2.111674218400467E-2</v>
      </c>
      <c r="BR33" s="156"/>
      <c r="BS33" s="156"/>
      <c r="BT33" s="156"/>
    </row>
    <row r="34" spans="1:72" ht="15.75">
      <c r="B34" s="128" t="s">
        <v>71</v>
      </c>
      <c r="C34" s="140">
        <f>V15</f>
        <v>4.3660266282770303E-2</v>
      </c>
      <c r="D34" s="143">
        <f>V16</f>
        <v>5.6646859135275522E-3</v>
      </c>
      <c r="E34" s="143">
        <f>V17</f>
        <v>-2.3154290877248443E-4</v>
      </c>
      <c r="F34" s="143">
        <f>V18</f>
        <v>2.5141433481851536E-2</v>
      </c>
      <c r="G34" s="143">
        <f>V19</f>
        <v>-8.3715435040806419E-2</v>
      </c>
      <c r="H34" s="143">
        <f>V20</f>
        <v>-3.8790219968343691E-2</v>
      </c>
      <c r="I34" s="143">
        <f>V21</f>
        <v>1.3168313164145462E-2</v>
      </c>
      <c r="J34" s="143">
        <f>V22</f>
        <v>-1.4562165255258849E-2</v>
      </c>
      <c r="K34" s="143">
        <f>V23</f>
        <v>-6.202668600454405E-2</v>
      </c>
      <c r="L34" s="143">
        <f>V24</f>
        <v>5.4831730056483875E-2</v>
      </c>
      <c r="M34" s="143">
        <f>V25</f>
        <v>2.713852657191406E-3</v>
      </c>
      <c r="N34" s="143">
        <f>V26</f>
        <v>-1.6795935276107624E-2</v>
      </c>
      <c r="O34" s="143">
        <f>V27</f>
        <v>7.8270097724255881E-3</v>
      </c>
      <c r="P34" s="143">
        <f>V28</f>
        <v>-9.9935339178737245E-2</v>
      </c>
      <c r="Q34" s="143">
        <f>V29</f>
        <v>4.7261718093468E-3</v>
      </c>
      <c r="R34" s="143">
        <f>V30</f>
        <v>2.2763109206413876E-2</v>
      </c>
      <c r="S34" s="143">
        <f>V31</f>
        <v>5.3652478222838236E-3</v>
      </c>
      <c r="T34" s="143">
        <f>V32</f>
        <v>-3.4536737986066504E-2</v>
      </c>
      <c r="U34" s="143">
        <f>V33</f>
        <v>5.9543671523602876E-2</v>
      </c>
      <c r="V34" s="151">
        <f>_xlfn.VAR.S(BB3:BB7)</f>
        <v>0.13731223611042695</v>
      </c>
      <c r="W34" s="143">
        <f t="shared" ref="W34:AK34" si="25">_xlfn.COVARIANCE.S($BB$3:$BB$7,BC3:BC7)</f>
        <v>3.9959990972798114E-2</v>
      </c>
      <c r="X34" s="143">
        <f t="shared" si="25"/>
        <v>9.1618636479613713E-2</v>
      </c>
      <c r="Y34" s="143">
        <f t="shared" si="25"/>
        <v>-3.8040947121004191E-2</v>
      </c>
      <c r="Z34" s="143">
        <f t="shared" si="25"/>
        <v>3.630701252361896E-2</v>
      </c>
      <c r="AA34" s="143">
        <f t="shared" si="25"/>
        <v>2.8184107779051764E-2</v>
      </c>
      <c r="AB34" s="143">
        <f t="shared" si="25"/>
        <v>-4.7733166956137475E-2</v>
      </c>
      <c r="AC34" s="143">
        <f t="shared" si="25"/>
        <v>9.2065587341519321E-3</v>
      </c>
      <c r="AD34" s="143">
        <f t="shared" si="25"/>
        <v>-6.7243752312606125E-2</v>
      </c>
      <c r="AE34" s="143">
        <f t="shared" si="25"/>
        <v>-0.10707749217350447</v>
      </c>
      <c r="AF34" s="143">
        <f t="shared" si="25"/>
        <v>6.1095975439113159E-2</v>
      </c>
      <c r="AG34" s="143">
        <f t="shared" si="25"/>
        <v>1.6510997384275018E-2</v>
      </c>
      <c r="AH34" s="143">
        <f t="shared" si="25"/>
        <v>1.040800243073268E-2</v>
      </c>
      <c r="AI34" s="143">
        <f t="shared" si="25"/>
        <v>1.1947541229071536E-3</v>
      </c>
      <c r="AJ34" s="143">
        <f t="shared" si="25"/>
        <v>3.8780119386146623E-2</v>
      </c>
      <c r="AK34" s="143">
        <f t="shared" si="25"/>
        <v>6.1366519863062657E-2</v>
      </c>
      <c r="AM34" s="119" t="s">
        <v>10</v>
      </c>
      <c r="AN34" s="119">
        <v>0.17812886725565016</v>
      </c>
      <c r="AO34" s="119">
        <v>0.20711890618897275</v>
      </c>
      <c r="AQ34" s="119" t="s">
        <v>10</v>
      </c>
      <c r="AR34" s="181">
        <v>0.19164279792151367</v>
      </c>
      <c r="AS34" s="119">
        <f t="shared" si="14"/>
        <v>0.20683303755262122</v>
      </c>
      <c r="AT34" s="119">
        <v>0.20683303755262122</v>
      </c>
      <c r="BR34" s="156"/>
      <c r="BS34" s="156"/>
      <c r="BT34" s="156"/>
    </row>
    <row r="35" spans="1:72" ht="15.75">
      <c r="B35" s="128" t="s">
        <v>127</v>
      </c>
      <c r="C35" s="140">
        <f>W15</f>
        <v>3.531562623190198E-2</v>
      </c>
      <c r="D35" s="143">
        <f>W16</f>
        <v>-6.7273783876935821E-3</v>
      </c>
      <c r="E35" s="143">
        <f>W17</f>
        <v>-3.3567651030791041E-3</v>
      </c>
      <c r="F35" s="143">
        <f>W18</f>
        <v>-4.2989376456366605E-3</v>
      </c>
      <c r="G35" s="143">
        <f>W19</f>
        <v>-0.13186974848811364</v>
      </c>
      <c r="H35" s="143">
        <f>W20</f>
        <v>1.4182535588551412E-2</v>
      </c>
      <c r="I35" s="143">
        <f>W21</f>
        <v>1.1149184503774077E-2</v>
      </c>
      <c r="J35" s="143">
        <f>W22</f>
        <v>-6.0973101468509384E-3</v>
      </c>
      <c r="K35" s="143">
        <f>W23</f>
        <v>-1.1848253091307834E-2</v>
      </c>
      <c r="L35" s="143">
        <f>W24</f>
        <v>-2.1456667669541898E-4</v>
      </c>
      <c r="M35" s="143">
        <f>W25</f>
        <v>1.1850884279876387E-2</v>
      </c>
      <c r="N35" s="143">
        <f>W26</f>
        <v>7.1326275055847987E-3</v>
      </c>
      <c r="O35" s="143">
        <f>W27</f>
        <v>3.2770437011767953E-3</v>
      </c>
      <c r="P35" s="143">
        <f>W28</f>
        <v>-5.6802705799002602E-2</v>
      </c>
      <c r="Q35" s="143">
        <f>W29</f>
        <v>-2.5178030934349879E-3</v>
      </c>
      <c r="R35" s="143">
        <f>W30</f>
        <v>4.1161824693524444E-3</v>
      </c>
      <c r="S35" s="143">
        <f>W31</f>
        <v>-2.4683707889021022E-3</v>
      </c>
      <c r="T35" s="143">
        <f>W32</f>
        <v>-7.3277463332859741E-2</v>
      </c>
      <c r="U35" s="143">
        <f>W33</f>
        <v>1.427132116900103E-2</v>
      </c>
      <c r="V35" s="143">
        <f>W34</f>
        <v>3.9959990972798114E-2</v>
      </c>
      <c r="W35" s="151">
        <f>_xlfn.VAR.S(BC3:BC7)</f>
        <v>2.9119970134503421E-2</v>
      </c>
      <c r="X35" s="143">
        <f t="shared" ref="X35:AK35" si="26">_xlfn.COVARIANCE.S($BC$3:$BC$7,BD3:BD7)</f>
        <v>6.522296754498437E-2</v>
      </c>
      <c r="Y35" s="143">
        <f t="shared" si="26"/>
        <v>-2.480288993582665E-2</v>
      </c>
      <c r="Z35" s="143">
        <f t="shared" si="26"/>
        <v>-3.5878909683632917E-3</v>
      </c>
      <c r="AA35" s="143">
        <f t="shared" si="26"/>
        <v>-4.3078450933116694E-3</v>
      </c>
      <c r="AB35" s="143">
        <f t="shared" si="26"/>
        <v>1.0844362564788048E-2</v>
      </c>
      <c r="AC35" s="143">
        <f t="shared" si="26"/>
        <v>-3.6169856656392052E-2</v>
      </c>
      <c r="AD35" s="143">
        <f t="shared" si="26"/>
        <v>-1.9523409862489884E-3</v>
      </c>
      <c r="AE35" s="143">
        <f t="shared" si="26"/>
        <v>-1.3252456118478445E-2</v>
      </c>
      <c r="AF35" s="143">
        <f t="shared" si="26"/>
        <v>1.6999024661723202E-2</v>
      </c>
      <c r="AG35" s="143">
        <f t="shared" si="26"/>
        <v>-1.422533191515251E-2</v>
      </c>
      <c r="AH35" s="143">
        <f t="shared" si="26"/>
        <v>4.4546725940582078E-3</v>
      </c>
      <c r="AI35" s="143">
        <f t="shared" si="26"/>
        <v>1.4318304937870008E-2</v>
      </c>
      <c r="AJ35" s="143">
        <f t="shared" si="26"/>
        <v>5.332761655887106E-3</v>
      </c>
      <c r="AK35" s="143">
        <f t="shared" si="26"/>
        <v>3.8478228243219628E-2</v>
      </c>
      <c r="AM35" s="119" t="s">
        <v>68</v>
      </c>
      <c r="AN35" s="119">
        <v>1.4497107722687174E-2</v>
      </c>
      <c r="AO35" s="119">
        <v>1.6856476665948344E-2</v>
      </c>
      <c r="AQ35" s="119" t="s">
        <v>68</v>
      </c>
      <c r="AR35" s="181">
        <v>1.5370204164165211E-2</v>
      </c>
      <c r="AS35" s="119">
        <f t="shared" si="14"/>
        <v>1.6588497191426979E-2</v>
      </c>
      <c r="AT35" s="119">
        <v>1.6588497191426979E-2</v>
      </c>
      <c r="BR35" s="156"/>
      <c r="BS35" s="156"/>
      <c r="BT35" s="156"/>
    </row>
    <row r="36" spans="1:72" ht="15.75">
      <c r="B36" s="128" t="s">
        <v>128</v>
      </c>
      <c r="C36" s="140">
        <f>X15</f>
        <v>0</v>
      </c>
      <c r="D36" s="143">
        <f>X16</f>
        <v>-1.6285337056662588E-2</v>
      </c>
      <c r="E36" s="143">
        <f>X17</f>
        <v>-9.024256749411581E-3</v>
      </c>
      <c r="F36" s="143">
        <f>X18</f>
        <v>-1.0077098238302688E-2</v>
      </c>
      <c r="G36" s="143">
        <f>X19</f>
        <v>-0.29062238968877713</v>
      </c>
      <c r="H36" s="143">
        <f>X20</f>
        <v>2.102246385260767E-2</v>
      </c>
      <c r="I36" s="143">
        <f>X21</f>
        <v>2.3476170711430364E-2</v>
      </c>
      <c r="J36" s="143">
        <f>X22</f>
        <v>-1.3593602681759277E-2</v>
      </c>
      <c r="K36" s="143">
        <f>X23</f>
        <v>-2.5403240056473569E-2</v>
      </c>
      <c r="L36" s="143">
        <f>X24</f>
        <v>-8.4641764509223952E-3</v>
      </c>
      <c r="M36" s="143">
        <f>X25</f>
        <v>2.5565412803936555E-2</v>
      </c>
      <c r="N36" s="143">
        <f>X26</f>
        <v>1.2785960906445447E-2</v>
      </c>
      <c r="O36" s="143">
        <f>X27</f>
        <v>8.122219903694659E-3</v>
      </c>
      <c r="P36" s="143">
        <f>X28</f>
        <v>-0.13640156176402637</v>
      </c>
      <c r="Q36" s="143">
        <f>X29</f>
        <v>-5.9421379029211407E-3</v>
      </c>
      <c r="R36" s="143">
        <f>X30</f>
        <v>9.7096692537127702E-3</v>
      </c>
      <c r="S36" s="143">
        <f>X31</f>
        <v>-1.0025375704191377E-2</v>
      </c>
      <c r="T36" s="143">
        <f>X32</f>
        <v>-0.16073459667048015</v>
      </c>
      <c r="U36" s="143">
        <f>X33</f>
        <v>3.357041301826489E-2</v>
      </c>
      <c r="V36" s="143">
        <f>X34</f>
        <v>9.1618636479613713E-2</v>
      </c>
      <c r="W36" s="143">
        <f>X35</f>
        <v>6.522296754498437E-2</v>
      </c>
      <c r="X36" s="151">
        <f>_xlfn.VAR.S(BD3:BD7)</f>
        <v>0.14629804418643022</v>
      </c>
      <c r="Y36" s="143">
        <f t="shared" ref="Y36:AK36" si="27">_xlfn.COVARIANCE.S($BD$3:$BD$7,BE3:BE7)</f>
        <v>-5.8659302963785714E-2</v>
      </c>
      <c r="Z36" s="143">
        <f t="shared" si="27"/>
        <v>-8.4357688240007164E-3</v>
      </c>
      <c r="AA36" s="143">
        <f t="shared" si="27"/>
        <v>-1.2405853205308024E-2</v>
      </c>
      <c r="AB36" s="143">
        <f t="shared" si="27"/>
        <v>2.4541868645911319E-2</v>
      </c>
      <c r="AC36" s="143">
        <f t="shared" si="27"/>
        <v>-8.2043773043936827E-2</v>
      </c>
      <c r="AD36" s="143">
        <f t="shared" si="27"/>
        <v>-4.7994013264129913E-3</v>
      </c>
      <c r="AE36" s="143">
        <f t="shared" si="27"/>
        <v>-2.9449019256008072E-2</v>
      </c>
      <c r="AF36" s="143">
        <f t="shared" si="27"/>
        <v>3.8183424581860949E-2</v>
      </c>
      <c r="AG36" s="143">
        <f t="shared" si="27"/>
        <v>-3.4301248701040531E-2</v>
      </c>
      <c r="AH36" s="143">
        <f t="shared" si="27"/>
        <v>8.785334060670202E-3</v>
      </c>
      <c r="AI36" s="143">
        <f t="shared" si="27"/>
        <v>3.2941728609557346E-2</v>
      </c>
      <c r="AJ36" s="143">
        <f t="shared" si="27"/>
        <v>1.4262707501606103E-2</v>
      </c>
      <c r="AK36" s="143">
        <f t="shared" si="27"/>
        <v>8.5535454016650928E-2</v>
      </c>
      <c r="AM36" s="119" t="s">
        <v>71</v>
      </c>
      <c r="AN36" s="119">
        <v>3.5694878258579706E-3</v>
      </c>
      <c r="AO36" s="119">
        <v>4.1504132684204598E-3</v>
      </c>
      <c r="AQ36" s="119" t="s">
        <v>71</v>
      </c>
      <c r="AR36" s="181">
        <v>2.0495890107769268E-2</v>
      </c>
      <c r="AS36" s="119">
        <f t="shared" si="14"/>
        <v>2.2120461892185441E-2</v>
      </c>
      <c r="AT36" s="119">
        <v>2.2120461892185441E-2</v>
      </c>
      <c r="BR36" s="156"/>
      <c r="BS36" s="156"/>
      <c r="BT36" s="156"/>
    </row>
    <row r="37" spans="1:72" ht="15.75">
      <c r="B37" s="128" t="s">
        <v>129</v>
      </c>
      <c r="C37" s="140">
        <f>Y15</f>
        <v>1.6588497191426979E-2</v>
      </c>
      <c r="D37" s="143">
        <f>Y16</f>
        <v>3.5559855836460534E-2</v>
      </c>
      <c r="E37" s="143">
        <f>Y17</f>
        <v>3.3552610997017826E-2</v>
      </c>
      <c r="F37" s="143">
        <f>Y18</f>
        <v>2.5930633562221844E-2</v>
      </c>
      <c r="G37" s="143">
        <f>Y19</f>
        <v>6.4721397548049356E-2</v>
      </c>
      <c r="H37" s="143">
        <f>Y20</f>
        <v>0.16741507908491551</v>
      </c>
      <c r="I37" s="143">
        <f>Y21</f>
        <v>1.8134109242832101E-2</v>
      </c>
      <c r="J37" s="143">
        <f>Y22</f>
        <v>1.2515210580693592E-3</v>
      </c>
      <c r="K37" s="143">
        <f>Y23</f>
        <v>-3.1786479316833864E-2</v>
      </c>
      <c r="L37" s="143">
        <f>Y24</f>
        <v>0.17701838498940248</v>
      </c>
      <c r="M37" s="143">
        <f>Y25</f>
        <v>2.6090655364110309E-3</v>
      </c>
      <c r="N37" s="143">
        <f>Y26</f>
        <v>4.3114422450902912E-2</v>
      </c>
      <c r="O37" s="143">
        <f>Y27</f>
        <v>-1.6263537019189565E-2</v>
      </c>
      <c r="P37" s="143">
        <f>Y28</f>
        <v>0.21392158943654685</v>
      </c>
      <c r="Q37" s="143">
        <f>Y29</f>
        <v>1.1539820468688356E-2</v>
      </c>
      <c r="R37" s="143">
        <f>Y30</f>
        <v>-5.3133556210162277E-3</v>
      </c>
      <c r="S37" s="143">
        <f>Y31</f>
        <v>9.1859309604636744E-2</v>
      </c>
      <c r="T37" s="143">
        <f>Y32</f>
        <v>2.6764239099674018E-2</v>
      </c>
      <c r="U37" s="143">
        <f>Y33</f>
        <v>-2.5178574252386374E-2</v>
      </c>
      <c r="V37" s="143">
        <f>Y34</f>
        <v>-3.8040947121004191E-2</v>
      </c>
      <c r="W37" s="143">
        <f>Y35</f>
        <v>-2.480288993582665E-2</v>
      </c>
      <c r="X37" s="143">
        <f>Y36</f>
        <v>-5.8659302963785714E-2</v>
      </c>
      <c r="Y37" s="151">
        <f>_xlfn.VAR.S(BE3:BE7)</f>
        <v>7.8680651446095262E-2</v>
      </c>
      <c r="Z37" s="143">
        <f t="shared" ref="Z37:AK37" si="28">_xlfn.COVARIANCE.S($BE$3:$BE$7,BF3:BF7)</f>
        <v>2.8893417851016737E-2</v>
      </c>
      <c r="AA37" s="143">
        <f t="shared" si="28"/>
        <v>7.1387855347005355E-2</v>
      </c>
      <c r="AB37" s="143">
        <f t="shared" si="28"/>
        <v>-4.1708652297538694E-2</v>
      </c>
      <c r="AC37" s="143">
        <f t="shared" si="28"/>
        <v>7.647053906312469E-2</v>
      </c>
      <c r="AD37" s="143">
        <f t="shared" si="28"/>
        <v>-1.8696917252613087E-2</v>
      </c>
      <c r="AE37" s="143">
        <f t="shared" si="28"/>
        <v>-3.2427686224988955E-2</v>
      </c>
      <c r="AF37" s="143">
        <f t="shared" si="28"/>
        <v>1.1574770058320888E-4</v>
      </c>
      <c r="AG37" s="143">
        <f t="shared" si="28"/>
        <v>7.4619390042020353E-2</v>
      </c>
      <c r="AH37" s="143">
        <f t="shared" si="28"/>
        <v>2.087549408772665E-2</v>
      </c>
      <c r="AI37" s="143">
        <f t="shared" si="28"/>
        <v>-3.6991234640554656E-2</v>
      </c>
      <c r="AJ37" s="143">
        <f t="shared" si="28"/>
        <v>-3.4934284729139842E-2</v>
      </c>
      <c r="AK37" s="143">
        <f t="shared" si="28"/>
        <v>-1.6611648054252266E-2</v>
      </c>
      <c r="AM37" s="119" t="s">
        <v>29</v>
      </c>
      <c r="AN37" s="119">
        <v>6.4114745599129871E-2</v>
      </c>
      <c r="AO37" s="119">
        <v>7.4549264157265996E-2</v>
      </c>
      <c r="AQ37" s="119" t="s">
        <v>178</v>
      </c>
      <c r="AR37" s="181">
        <v>4.1977699133396398E-2</v>
      </c>
      <c r="AS37" s="119">
        <f t="shared" si="14"/>
        <v>4.5304989884285836E-2</v>
      </c>
      <c r="AT37" s="119">
        <v>4.5304989884285836E-2</v>
      </c>
      <c r="BR37" s="156"/>
      <c r="BS37" s="156"/>
      <c r="BT37" s="156"/>
    </row>
    <row r="38" spans="1:72" ht="15.75">
      <c r="B38" s="128" t="s">
        <v>130</v>
      </c>
      <c r="C38" s="140">
        <f>Z15</f>
        <v>2.2120461892185441E-2</v>
      </c>
      <c r="D38" s="143">
        <f>Z16</f>
        <v>2.3104479313218393E-2</v>
      </c>
      <c r="E38" s="143">
        <f>Z17</f>
        <v>1.7600621098767758E-2</v>
      </c>
      <c r="F38" s="143">
        <f>Z18</f>
        <v>2.7586755573044835E-2</v>
      </c>
      <c r="G38" s="143">
        <f>Z19</f>
        <v>4.4050180045283695E-2</v>
      </c>
      <c r="H38" s="143">
        <f>Z20</f>
        <v>5.4876291203264121E-2</v>
      </c>
      <c r="I38" s="143">
        <f>Z21</f>
        <v>1.0920979463364322E-2</v>
      </c>
      <c r="J38" s="143">
        <f>Z22</f>
        <v>-4.4048710492588889E-3</v>
      </c>
      <c r="K38" s="143">
        <f>Z23</f>
        <v>-4.2823760475409971E-2</v>
      </c>
      <c r="L38" s="143">
        <f>Z24</f>
        <v>0.11470982747288579</v>
      </c>
      <c r="M38" s="143">
        <f>Z25</f>
        <v>-2.387082227270822E-3</v>
      </c>
      <c r="N38" s="143">
        <f>Z26</f>
        <v>9.0793381584126781E-3</v>
      </c>
      <c r="O38" s="143">
        <f>Z27</f>
        <v>-5.1992996447963067E-3</v>
      </c>
      <c r="P38" s="143">
        <f>Z28</f>
        <v>7.583291795138776E-2</v>
      </c>
      <c r="Q38" s="143">
        <f>Z29</f>
        <v>9.1528265547411135E-3</v>
      </c>
      <c r="R38" s="143">
        <f>Z30</f>
        <v>7.5746667827721751E-3</v>
      </c>
      <c r="S38" s="143">
        <f>Z31</f>
        <v>4.8448915720070714E-2</v>
      </c>
      <c r="T38" s="143">
        <f>Z32</f>
        <v>2.628495786360659E-2</v>
      </c>
      <c r="U38" s="143">
        <f>Z33</f>
        <v>1.2838784465094585E-2</v>
      </c>
      <c r="V38" s="143">
        <f>Z34</f>
        <v>3.630701252361896E-2</v>
      </c>
      <c r="W38" s="143">
        <f>Z35</f>
        <v>-3.5878909683632917E-3</v>
      </c>
      <c r="X38" s="143">
        <f>Z36</f>
        <v>-8.4357688240007164E-3</v>
      </c>
      <c r="Y38" s="143">
        <f>Z37</f>
        <v>2.8893417851016737E-2</v>
      </c>
      <c r="Z38" s="151">
        <f>_xlfn.VAR.S(BF3:BF7)</f>
        <v>3.4565156208566865E-2</v>
      </c>
      <c r="AA38" s="143">
        <f>_xlfn.COVARIANCE.S($BF$3:$BF$7,BG3:BG7)</f>
        <v>5.1245788393849689E-2</v>
      </c>
      <c r="AB38" s="143">
        <f>_xlfn.COVARIANCE.S($BF$3:$BF$7,BH3:BH7)</f>
        <v>-4.9873130915911272E-2</v>
      </c>
      <c r="AC38" s="143">
        <f>_xlfn.COVARIANCE.S($BF$3:$BF$7,BI3:BI7)</f>
        <v>5.7420292185394052E-2</v>
      </c>
      <c r="AD38" s="143">
        <f>_xlfn.COVARIANCE.S($BF$3:$BF$7,BJ3:BJ7)</f>
        <v>-4.3438760647667461E-2</v>
      </c>
      <c r="AE38" s="143">
        <f>_xlfn.COVARIANCE.S($BF$3:$BF$7,BK3:BK7)</f>
        <v>-6.611657052818333E-2</v>
      </c>
      <c r="AF38" s="143">
        <f t="shared" ref="AF38:AK38" si="29">_xlfn.COVARIANCE.S($BF$3:$BF$7,BL3:BL7)</f>
        <v>2.4759983283882344E-2</v>
      </c>
      <c r="AG38" s="143">
        <f t="shared" si="29"/>
        <v>5.0949871236611079E-2</v>
      </c>
      <c r="AH38" s="143">
        <f t="shared" si="29"/>
        <v>1.367283767510505E-2</v>
      </c>
      <c r="AI38" s="143">
        <f t="shared" si="29"/>
        <v>-2.3458557601340097E-2</v>
      </c>
      <c r="AJ38" s="143">
        <f t="shared" si="29"/>
        <v>1.0618441110190307E-3</v>
      </c>
      <c r="AK38" s="143">
        <f t="shared" si="29"/>
        <v>7.5866257105648384E-3</v>
      </c>
      <c r="AM38" s="119" t="s">
        <v>31</v>
      </c>
      <c r="AN38" s="119">
        <v>2.2952447874096598E-2</v>
      </c>
      <c r="AO38" s="119">
        <v>2.6687902815996315E-2</v>
      </c>
      <c r="AQ38" s="119" t="s">
        <v>176</v>
      </c>
      <c r="AR38" s="181">
        <v>5.8527380170389793E-3</v>
      </c>
      <c r="AS38" s="119">
        <f t="shared" si="14"/>
        <v>6.316645317188738E-3</v>
      </c>
      <c r="AT38" s="119">
        <v>6.316645317188738E-3</v>
      </c>
      <c r="BR38" s="156"/>
      <c r="BS38" s="156"/>
      <c r="BT38" s="156"/>
    </row>
    <row r="39" spans="1:72" ht="15.75">
      <c r="B39" s="128" t="s">
        <v>131</v>
      </c>
      <c r="C39" s="140">
        <f>AA15</f>
        <v>0</v>
      </c>
      <c r="D39" s="143">
        <f>AA16</f>
        <v>4.4105775662463147E-2</v>
      </c>
      <c r="E39" s="143">
        <f>AA17</f>
        <v>3.9684207601822723E-2</v>
      </c>
      <c r="F39" s="143">
        <f>AA18</f>
        <v>4.2224275475345109E-2</v>
      </c>
      <c r="G39" s="143">
        <f>AA19</f>
        <v>7.8513016703420507E-3</v>
      </c>
      <c r="H39" s="143">
        <f>AA20</f>
        <v>0.18748939318050847</v>
      </c>
      <c r="I39" s="143">
        <f>AA21</f>
        <v>3.076199687158011E-2</v>
      </c>
      <c r="J39" s="143">
        <f>AA22</f>
        <v>-6.7903340332736151E-3</v>
      </c>
      <c r="K39" s="143">
        <f>AA23</f>
        <v>-7.0504936771038015E-2</v>
      </c>
      <c r="L39" s="143">
        <f>AA24</f>
        <v>0.23993168388492447</v>
      </c>
      <c r="M39" s="143">
        <f>AA25</f>
        <v>7.2138798078182007E-3</v>
      </c>
      <c r="N39" s="143">
        <f>AA26</f>
        <v>4.58862703862149E-2</v>
      </c>
      <c r="O39" s="143">
        <f>AA27</f>
        <v>-1.5206641495368189E-2</v>
      </c>
      <c r="P39" s="143">
        <f>AA28</f>
        <v>0.19823411025198792</v>
      </c>
      <c r="Q39" s="143">
        <f>AA29</f>
        <v>1.5598149385792579E-2</v>
      </c>
      <c r="R39" s="143">
        <f>AA30</f>
        <v>5.285387270656975E-3</v>
      </c>
      <c r="S39" s="143">
        <f>AA31</f>
        <v>0.11305368541212409</v>
      </c>
      <c r="T39" s="143">
        <f>AA32</f>
        <v>-1.107174343676275E-3</v>
      </c>
      <c r="U39" s="143">
        <f>AA33</f>
        <v>1.0041925215029436E-3</v>
      </c>
      <c r="V39" s="143">
        <f>AA34</f>
        <v>2.8184107779051764E-2</v>
      </c>
      <c r="W39" s="143">
        <f>AA35</f>
        <v>-4.3078450933116694E-3</v>
      </c>
      <c r="X39" s="143">
        <f>AA36</f>
        <v>-1.2405853205308024E-2</v>
      </c>
      <c r="Y39" s="143">
        <f>AA37</f>
        <v>7.1387855347005355E-2</v>
      </c>
      <c r="Z39" s="143">
        <f>AA38</f>
        <v>5.1245788393849689E-2</v>
      </c>
      <c r="AA39" s="151">
        <f>_xlfn.VAR.S(BG3:BG7)</f>
        <v>9.8636849121268841E-2</v>
      </c>
      <c r="AB39" s="143">
        <f>_xlfn.COVARIANCE.S($BG$3:$BG$7,BH3:BH7)</f>
        <v>-7.0439284882755596E-2</v>
      </c>
      <c r="AC39" s="143">
        <f>_xlfn.COVARIANCE.S($BG$3:$BG$7,BI3:BI7)</f>
        <v>8.8357930326004364E-2</v>
      </c>
      <c r="AD39" s="143">
        <f>_xlfn.COVARIANCE.S($BG$3:$BG$7,BJ3:BJ7)</f>
        <v>-5.4817952143800336E-2</v>
      </c>
      <c r="AE39" s="143">
        <f>_xlfn.COVARIANCE.S($BG$3:$BG$7,BK3:BK7)</f>
        <v>-9.2879141361190687E-2</v>
      </c>
      <c r="AF39" s="143">
        <f t="shared" ref="AF39:AK39" si="30">_xlfn.COVARIANCE.S($BG$3:$BG$7,BL3:BL7)</f>
        <v>3.296843192951688E-2</v>
      </c>
      <c r="AG39" s="143">
        <f t="shared" si="30"/>
        <v>9.4710035976778906E-2</v>
      </c>
      <c r="AH39" s="143">
        <f t="shared" si="30"/>
        <v>3.1205589545203107E-2</v>
      </c>
      <c r="AI39" s="143">
        <f t="shared" si="30"/>
        <v>-4.0819619074868911E-2</v>
      </c>
      <c r="AJ39" s="143">
        <f t="shared" si="30"/>
        <v>-2.2692450522726629E-2</v>
      </c>
      <c r="AK39" s="143">
        <f t="shared" si="30"/>
        <v>1.7898570629314936E-2</v>
      </c>
      <c r="AM39" s="119" t="s">
        <v>33</v>
      </c>
      <c r="AN39" s="119">
        <v>7.6264049606162912E-2</v>
      </c>
      <c r="AO39" s="119">
        <v>8.867583777591774E-2</v>
      </c>
      <c r="AQ39" s="119" t="s">
        <v>179</v>
      </c>
      <c r="AR39" s="181">
        <v>3.719184408052905E-2</v>
      </c>
      <c r="AS39" s="119">
        <f t="shared" si="14"/>
        <v>4.0139792190415226E-2</v>
      </c>
      <c r="AT39" s="119">
        <v>4.0139792190415226E-2</v>
      </c>
      <c r="BR39" s="156"/>
      <c r="BS39" s="156"/>
      <c r="BT39" s="156"/>
    </row>
    <row r="40" spans="1:72" ht="15.75">
      <c r="B40" s="128" t="s">
        <v>132</v>
      </c>
      <c r="C40" s="140">
        <f>AB15</f>
        <v>5.1870837324511095E-2</v>
      </c>
      <c r="D40" s="143">
        <f>AB16</f>
        <v>-3.2730103593545418E-2</v>
      </c>
      <c r="E40" s="143">
        <f>AB17</f>
        <v>-2.3705565008111731E-2</v>
      </c>
      <c r="F40" s="143">
        <f>AB18</f>
        <v>-3.9886459933428403E-2</v>
      </c>
      <c r="G40" s="143">
        <f>AB19</f>
        <v>-9.638800493535897E-2</v>
      </c>
      <c r="H40" s="143">
        <f>AB20</f>
        <v>-5.9871206414242116E-2</v>
      </c>
      <c r="I40" s="143">
        <f>AB21</f>
        <v>-1.1272337714657138E-2</v>
      </c>
      <c r="J40" s="143">
        <f>AB22</f>
        <v>5.0592128677445277E-3</v>
      </c>
      <c r="K40" s="143">
        <f>AB23</f>
        <v>5.7636781138121963E-2</v>
      </c>
      <c r="L40" s="143">
        <f>AB24</f>
        <v>-0.15306884426197151</v>
      </c>
      <c r="M40" s="143">
        <f>AB25</f>
        <v>7.2417344703871846E-3</v>
      </c>
      <c r="N40" s="143">
        <f>AB26</f>
        <v>-6.8168528307641389E-3</v>
      </c>
      <c r="O40" s="143">
        <f>AB27</f>
        <v>6.9330494806728272E-3</v>
      </c>
      <c r="P40" s="143">
        <f>AB28</f>
        <v>-0.106288005907477</v>
      </c>
      <c r="Q40" s="143">
        <f>AB29</f>
        <v>-1.3211326511003041E-2</v>
      </c>
      <c r="R40" s="143">
        <f>AB30</f>
        <v>-1.0855679195300621E-2</v>
      </c>
      <c r="S40" s="143">
        <f>AB31</f>
        <v>-6.339668185832098E-2</v>
      </c>
      <c r="T40" s="143">
        <f>AB32</f>
        <v>-5.7321883566924713E-2</v>
      </c>
      <c r="U40" s="143">
        <f>AB33</f>
        <v>-1.8160406043867799E-2</v>
      </c>
      <c r="V40" s="143">
        <f>AB34</f>
        <v>-4.7733166956137475E-2</v>
      </c>
      <c r="W40" s="143">
        <f>AB35</f>
        <v>1.0844362564788048E-2</v>
      </c>
      <c r="X40" s="143">
        <f>AB36</f>
        <v>2.4541868645911319E-2</v>
      </c>
      <c r="Y40" s="143">
        <f>AB37</f>
        <v>-4.1708652297538694E-2</v>
      </c>
      <c r="Z40" s="143">
        <f>AB38</f>
        <v>-4.9873130915911272E-2</v>
      </c>
      <c r="AA40" s="143">
        <f>AB39</f>
        <v>-7.0439284882755596E-2</v>
      </c>
      <c r="AB40" s="151">
        <f>_xlfn.VAR.S(BH3:BH7)</f>
        <v>7.3559968051990901E-2</v>
      </c>
      <c r="AC40" s="143">
        <f>_xlfn.COVARIANCE.S($BH$3:$BH$7,BI3:BI7)</f>
        <v>-8.8179667805849557E-2</v>
      </c>
      <c r="AD40" s="143">
        <f>_xlfn.COVARIANCE.S($BH$3:$BH$7,BJ3:BJ7)</f>
        <v>6.2834858604033192E-2</v>
      </c>
      <c r="AE40" s="143">
        <f>_xlfn.COVARIANCE.S($BH$3:$BH$7,BK3:BK7)</f>
        <v>9.228632358047284E-2</v>
      </c>
      <c r="AF40" s="143">
        <f t="shared" ref="AF40:AK40" si="31">_xlfn.COVARIANCE.S($BH$3:$BH$7,BL3:BL7)</f>
        <v>-3.2513983231717773E-2</v>
      </c>
      <c r="AG40" s="143">
        <f t="shared" si="31"/>
        <v>-7.2431618878820672E-2</v>
      </c>
      <c r="AH40" s="143">
        <f t="shared" si="31"/>
        <v>-1.7004262016434398E-2</v>
      </c>
      <c r="AI40" s="143">
        <f t="shared" si="31"/>
        <v>3.5247767417055154E-2</v>
      </c>
      <c r="AJ40" s="143">
        <f t="shared" si="31"/>
        <v>-4.0290904822536259E-3</v>
      </c>
      <c r="AK40" s="143">
        <f t="shared" si="31"/>
        <v>-2.4363055290725099E-3</v>
      </c>
      <c r="AM40" s="119" t="s">
        <v>35</v>
      </c>
      <c r="AN40" s="119">
        <v>1.9556183649322056E-2</v>
      </c>
      <c r="AO40" s="119">
        <v>2.2738904867480311E-2</v>
      </c>
      <c r="AQ40" s="119" t="s">
        <v>180</v>
      </c>
      <c r="AR40" s="181">
        <v>3.9442647324595653E-2</v>
      </c>
      <c r="AS40" s="119">
        <f t="shared" si="14"/>
        <v>4.2569001516059954E-2</v>
      </c>
      <c r="AT40" s="119">
        <v>4.2569001516059954E-2</v>
      </c>
      <c r="BR40" s="156"/>
      <c r="BS40" s="156"/>
      <c r="BT40" s="156"/>
    </row>
    <row r="41" spans="1:72" ht="15.75">
      <c r="B41" s="128" t="s">
        <v>134</v>
      </c>
      <c r="C41" s="140">
        <f>AC15</f>
        <v>2.7245288291662391E-3</v>
      </c>
      <c r="D41" s="143">
        <f>AC16</f>
        <v>4.4827904669446562E-2</v>
      </c>
      <c r="E41" s="143">
        <f>AC17</f>
        <v>3.3433349530974633E-2</v>
      </c>
      <c r="F41" s="143">
        <f>AC18</f>
        <v>4.7596808654275014E-2</v>
      </c>
      <c r="G41" s="143">
        <f>AC19</f>
        <v>0.19690213491781736</v>
      </c>
      <c r="H41" s="143">
        <f>AC20</f>
        <v>9.0264842921959201E-2</v>
      </c>
      <c r="I41" s="143">
        <f>AC21</f>
        <v>7.9157769219036639E-3</v>
      </c>
      <c r="J41" s="143">
        <f>AC22</f>
        <v>-4.3508590068100952E-4</v>
      </c>
      <c r="K41" s="143">
        <f>AC23</f>
        <v>-5.5239160036640311E-2</v>
      </c>
      <c r="L41" s="143">
        <f>AC24</f>
        <v>0.19144157214144542</v>
      </c>
      <c r="M41" s="143">
        <f>AC25</f>
        <v>-1.4197007482915252E-2</v>
      </c>
      <c r="N41" s="143">
        <f>AC26</f>
        <v>1.269200091134152E-2</v>
      </c>
      <c r="O41" s="143">
        <f>AC27</f>
        <v>-1.2953907516412753E-2</v>
      </c>
      <c r="P41" s="143">
        <f>AC28</f>
        <v>0.19399266309211297</v>
      </c>
      <c r="Q41" s="143">
        <f>AC29</f>
        <v>1.7247403023169437E-2</v>
      </c>
      <c r="R41" s="143">
        <f>AC30</f>
        <v>6.2714015064924663E-3</v>
      </c>
      <c r="S41" s="143">
        <f>AC31</f>
        <v>8.5593639478810477E-2</v>
      </c>
      <c r="T41" s="143">
        <f>AC32</f>
        <v>0.11067301575426643</v>
      </c>
      <c r="U41" s="143">
        <f>AC33</f>
        <v>1.4072063873060471E-3</v>
      </c>
      <c r="V41" s="143">
        <f>AC34</f>
        <v>9.2065587341519321E-3</v>
      </c>
      <c r="W41" s="143">
        <f>AC35</f>
        <v>-3.6169856656392052E-2</v>
      </c>
      <c r="X41" s="143">
        <f>AC36</f>
        <v>-8.2043773043936827E-2</v>
      </c>
      <c r="Y41" s="143">
        <f>AC37</f>
        <v>7.647053906312469E-2</v>
      </c>
      <c r="Z41" s="143">
        <f>AC38</f>
        <v>5.7420292185394052E-2</v>
      </c>
      <c r="AA41" s="143">
        <f>AC39</f>
        <v>8.8357930326004364E-2</v>
      </c>
      <c r="AB41" s="143">
        <f>AC40</f>
        <v>-8.8179667805849557E-2</v>
      </c>
      <c r="AC41" s="151">
        <f>_xlfn.VAR.S(BI3:BI7)</f>
        <v>0.12794725278307115</v>
      </c>
      <c r="AD41" s="143">
        <f>_xlfn.COVARIANCE.S($BI$3:$BI$7,BJ3:BJ7)</f>
        <v>-6.3510880796516109E-2</v>
      </c>
      <c r="AE41" s="143">
        <f>_xlfn.COVARIANCE.S($BI$3:$BI$7,BK3:BK7)</f>
        <v>-8.7585924320237041E-2</v>
      </c>
      <c r="AF41" s="143">
        <f t="shared" ref="AF41:AK41" si="32">_xlfn.COVARIANCE.S($BI$3:$BI$7,BL3:BL7)</f>
        <v>1.9727517699998341E-2</v>
      </c>
      <c r="AG41" s="143">
        <f t="shared" si="32"/>
        <v>9.7725422286750477E-2</v>
      </c>
      <c r="AH41" s="143">
        <f t="shared" si="32"/>
        <v>1.8575235964621635E-2</v>
      </c>
      <c r="AI41" s="143">
        <f t="shared" si="32"/>
        <v>-5.2682167755012839E-2</v>
      </c>
      <c r="AJ41" s="143">
        <f t="shared" si="32"/>
        <v>-8.5938907002830276E-3</v>
      </c>
      <c r="AK41" s="143">
        <f t="shared" si="32"/>
        <v>-2.7660457154696717E-2</v>
      </c>
      <c r="AN41" s="119">
        <v>0.86003190405576779</v>
      </c>
      <c r="AO41" s="119">
        <v>1</v>
      </c>
      <c r="AQ41" s="119" t="s">
        <v>29</v>
      </c>
      <c r="AR41" s="181">
        <v>5.1160320818826863E-2</v>
      </c>
      <c r="AS41" s="119">
        <f t="shared" si="14"/>
        <v>5.5215456421473366E-2</v>
      </c>
      <c r="AT41" s="119">
        <v>5.5215456421473366E-2</v>
      </c>
      <c r="BR41" s="156"/>
      <c r="BS41" s="156"/>
      <c r="BT41" s="156"/>
    </row>
    <row r="42" spans="1:72" ht="15.75">
      <c r="B42" s="128" t="s">
        <v>135</v>
      </c>
      <c r="C42" s="140">
        <f>AD15</f>
        <v>0</v>
      </c>
      <c r="D42" s="143">
        <f>AD16</f>
        <v>-2.3724872027619914E-2</v>
      </c>
      <c r="E42" s="143">
        <f>AD17</f>
        <v>-1.5858845223309336E-2</v>
      </c>
      <c r="F42" s="143">
        <f>AD18</f>
        <v>-3.374995278837397E-2</v>
      </c>
      <c r="G42" s="143">
        <f>AD19</f>
        <v>-4.9720512433293146E-2</v>
      </c>
      <c r="H42" s="143">
        <f>AD20</f>
        <v>-2.7713223661558234E-2</v>
      </c>
      <c r="I42" s="143">
        <f>AD21</f>
        <v>-1.0354313219627062E-2</v>
      </c>
      <c r="J42" s="143">
        <f>AD22</f>
        <v>6.9962742324994063E-3</v>
      </c>
      <c r="K42" s="143">
        <f>AD23</f>
        <v>5.4686245364840978E-2</v>
      </c>
      <c r="L42" s="143">
        <f>AD24</f>
        <v>-0.11666873268724394</v>
      </c>
      <c r="M42" s="143">
        <f>AD25</f>
        <v>4.8778120398437442E-3</v>
      </c>
      <c r="N42" s="143">
        <f>AD26</f>
        <v>7.1250320951884299E-4</v>
      </c>
      <c r="O42" s="143">
        <f>AD27</f>
        <v>2.6255355893972051E-3</v>
      </c>
      <c r="P42" s="143">
        <f>AD28</f>
        <v>-4.6347992817694111E-2</v>
      </c>
      <c r="Q42" s="143">
        <f>AD29</f>
        <v>-1.0246715827303285E-2</v>
      </c>
      <c r="R42" s="143">
        <f>AD30</f>
        <v>-1.3273767094592145E-2</v>
      </c>
      <c r="S42" s="143">
        <f>AD31</f>
        <v>-4.3625083044149693E-2</v>
      </c>
      <c r="T42" s="143">
        <f>AD32</f>
        <v>-3.3478606720028246E-2</v>
      </c>
      <c r="U42" s="143">
        <f>AD33</f>
        <v>-2.7698682879264174E-2</v>
      </c>
      <c r="V42" s="143">
        <f>AD34</f>
        <v>-6.7243752312606125E-2</v>
      </c>
      <c r="W42" s="143">
        <f>AD35</f>
        <v>-1.9523409862489884E-3</v>
      </c>
      <c r="X42" s="143">
        <f>AD36</f>
        <v>-4.7994013264129913E-3</v>
      </c>
      <c r="Y42" s="143">
        <f>AD37</f>
        <v>-1.8696917252613087E-2</v>
      </c>
      <c r="Z42" s="143">
        <f>AD38</f>
        <v>-4.3438760647667461E-2</v>
      </c>
      <c r="AA42" s="143">
        <f>AD39</f>
        <v>-5.4817952143800336E-2</v>
      </c>
      <c r="AB42" s="143">
        <f>AD40</f>
        <v>6.2834858604033192E-2</v>
      </c>
      <c r="AC42" s="143">
        <f>AD41</f>
        <v>-6.3510880796516109E-2</v>
      </c>
      <c r="AD42" s="151">
        <f>_xlfn.VAR.S(BJ3:BJ7)</f>
        <v>6.0297102083917829E-2</v>
      </c>
      <c r="AE42" s="143">
        <f>_xlfn.COVARIANCE.S($BJ$3:$BJ$7,BK3:BK7)</f>
        <v>9.0148927498675535E-2</v>
      </c>
      <c r="AF42" s="143">
        <f>_xlfn.COVARIANCE.S($BJ$3:$BJ$7,BL3:BL7)</f>
        <v>-3.7435307857710251E-2</v>
      </c>
      <c r="AG42" s="143">
        <f t="shared" ref="AG42:AK42" si="33">_xlfn.COVARIANCE.S($BJ$3:$BJ$7,BM3:BM7)</f>
        <v>-5.3570879864536645E-2</v>
      </c>
      <c r="AH42" s="143">
        <f t="shared" si="33"/>
        <v>-1.3851208147790011E-2</v>
      </c>
      <c r="AI42" s="143">
        <f t="shared" si="33"/>
        <v>2.4009347104615889E-2</v>
      </c>
      <c r="AJ42" s="143">
        <f t="shared" si="33"/>
        <v>-1.3163826112286336E-2</v>
      </c>
      <c r="AK42" s="143">
        <f t="shared" si="33"/>
        <v>-1.6074763520282948E-2</v>
      </c>
      <c r="AQ42" s="119" t="s">
        <v>31</v>
      </c>
      <c r="AR42" s="181">
        <v>5.0023046527873219E-2</v>
      </c>
      <c r="AS42" s="119">
        <f t="shared" si="14"/>
        <v>5.398803802287129E-2</v>
      </c>
      <c r="AT42" s="119">
        <v>5.398803802287129E-2</v>
      </c>
      <c r="BR42" s="156"/>
      <c r="BS42" s="156"/>
      <c r="BT42" s="156"/>
    </row>
    <row r="43" spans="1:72" ht="15.75">
      <c r="B43" s="128" t="s">
        <v>136</v>
      </c>
      <c r="C43" s="140">
        <f>AE15</f>
        <v>1.7155182750313896E-2</v>
      </c>
      <c r="D43" s="143">
        <f>AE16</f>
        <v>-3.8577756665273723E-2</v>
      </c>
      <c r="E43" s="143">
        <f>AE17</f>
        <v>-2.906719811915276E-2</v>
      </c>
      <c r="F43" s="143">
        <f>AE18</f>
        <v>-5.1408154386226708E-2</v>
      </c>
      <c r="G43" s="143">
        <f>AE19</f>
        <v>-8.8893567878636521E-3</v>
      </c>
      <c r="H43" s="143">
        <f>AE20</f>
        <v>-9.1607223495587878E-2</v>
      </c>
      <c r="I43" s="143">
        <f>AE21</f>
        <v>-2.5827336672203712E-2</v>
      </c>
      <c r="J43" s="143">
        <f>AE22</f>
        <v>1.3004533916964078E-2</v>
      </c>
      <c r="K43" s="143">
        <f>AE23</f>
        <v>9.1648425399547651E-2</v>
      </c>
      <c r="L43" s="143">
        <f>AE24</f>
        <v>-0.20963511350188313</v>
      </c>
      <c r="M43" s="143">
        <f>AE25</f>
        <v>-8.7725495178574142E-4</v>
      </c>
      <c r="N43" s="143">
        <f>AE26</f>
        <v>-1.4703871606533156E-2</v>
      </c>
      <c r="O43" s="143">
        <f>AE27</f>
        <v>6.065500877440573E-3</v>
      </c>
      <c r="P43" s="143">
        <f>AE28</f>
        <v>-8.8176160305886112E-2</v>
      </c>
      <c r="Q43" s="143">
        <f>AE29</f>
        <v>-1.5871732993366985E-2</v>
      </c>
      <c r="R43" s="143">
        <f>AE30</f>
        <v>-1.9501509447037855E-2</v>
      </c>
      <c r="S43" s="143">
        <f>AE31</f>
        <v>-8.3825803278859759E-2</v>
      </c>
      <c r="T43" s="143">
        <f>AE32</f>
        <v>-1.0637134003464508E-2</v>
      </c>
      <c r="U43" s="143">
        <f>AE33</f>
        <v>-4.0282354442350635E-2</v>
      </c>
      <c r="V43" s="143">
        <f>AE34</f>
        <v>-0.10707749217350447</v>
      </c>
      <c r="W43" s="143">
        <f>AE35</f>
        <v>-1.3252456118478445E-2</v>
      </c>
      <c r="X43" s="143">
        <f>AE36</f>
        <v>-2.9449019256008072E-2</v>
      </c>
      <c r="Y43" s="143">
        <f>AE37</f>
        <v>-3.2427686224988955E-2</v>
      </c>
      <c r="Z43" s="143">
        <f>AE38</f>
        <v>-6.611657052818333E-2</v>
      </c>
      <c r="AA43" s="143">
        <f>AE39</f>
        <v>-9.2879141361190687E-2</v>
      </c>
      <c r="AB43" s="143">
        <f>AE40</f>
        <v>9.228632358047284E-2</v>
      </c>
      <c r="AC43" s="143">
        <f>AE41</f>
        <v>-8.7585924320237041E-2</v>
      </c>
      <c r="AD43" s="143">
        <f>AE42</f>
        <v>9.0148927498675535E-2</v>
      </c>
      <c r="AE43" s="151">
        <f>_xlfn.VAR.S(BK3:BK7)</f>
        <v>0.14205737899623297</v>
      </c>
      <c r="AF43" s="143">
        <f>_xlfn.COVARIANCE.S($BK$3:$BK$6,BL3:BL6)</f>
        <v>-6.219973488630004E-2</v>
      </c>
      <c r="AG43" s="143">
        <f t="shared" ref="AG43:AK43" si="34">_xlfn.COVARIANCE.S($BK$3:$BK$6,BM3:BM6)</f>
        <v>-8.6163765059082478E-2</v>
      </c>
      <c r="AH43" s="143">
        <f t="shared" si="34"/>
        <v>-2.7488880828601587E-2</v>
      </c>
      <c r="AI43" s="143">
        <f t="shared" si="34"/>
        <v>3.4886202048276298E-2</v>
      </c>
      <c r="AJ43" s="143">
        <f t="shared" si="34"/>
        <v>-1.2165963441348506E-2</v>
      </c>
      <c r="AK43" s="143">
        <f t="shared" si="34"/>
        <v>-4.0624133379902054E-2</v>
      </c>
      <c r="AQ43" s="119" t="s">
        <v>33</v>
      </c>
      <c r="AR43" s="181">
        <v>3.084721130024573E-2</v>
      </c>
      <c r="AS43" s="119">
        <f t="shared" si="14"/>
        <v>3.329226291024176E-2</v>
      </c>
      <c r="AT43" s="119">
        <v>3.329226291024176E-2</v>
      </c>
      <c r="BR43" s="156"/>
      <c r="BS43" s="156"/>
      <c r="BT43" s="156"/>
    </row>
    <row r="44" spans="1:72" ht="15.75">
      <c r="B44" s="128" t="s">
        <v>182</v>
      </c>
      <c r="C44" s="261">
        <f>AF15</f>
        <v>6.316645317188738E-3</v>
      </c>
      <c r="D44" s="143">
        <f>AF16</f>
        <v>1.1645190266096455E-2</v>
      </c>
      <c r="E44" s="143">
        <f>AF17</f>
        <v>8.8956629129642271E-3</v>
      </c>
      <c r="F44" s="143">
        <f>AF18</f>
        <v>1.851486990374766E-2</v>
      </c>
      <c r="G44" s="143">
        <f>AF19</f>
        <v>-4.4729356480838776E-2</v>
      </c>
      <c r="H44" s="143">
        <f>AF20</f>
        <v>3.2202890307145814E-2</v>
      </c>
      <c r="I44" s="143">
        <f>AF21</f>
        <v>1.3416528724070934E-2</v>
      </c>
      <c r="J44" s="143">
        <f>AF22</f>
        <v>-7.611462724171441E-3</v>
      </c>
      <c r="K44" s="143">
        <f>AF23</f>
        <v>-4.0506154510856984E-2</v>
      </c>
      <c r="L44" s="143">
        <f>AF24</f>
        <v>7.6533479256549977E-2</v>
      </c>
      <c r="M44" s="143">
        <f>AF25</f>
        <v>4.1635745067042243E-3</v>
      </c>
      <c r="N44" s="143">
        <f>AF26</f>
        <v>5.7089322354323168E-3</v>
      </c>
      <c r="O44" s="143">
        <f>AF27</f>
        <v>-3.7436750051307761E-4</v>
      </c>
      <c r="P44" s="143">
        <f>AF28</f>
        <v>3.8789500925614693E-3</v>
      </c>
      <c r="Q44" s="143">
        <f>AF29</f>
        <v>5.0813875322420626E-3</v>
      </c>
      <c r="R44" s="143">
        <f>AF30</f>
        <v>9.9606092890475034E-3</v>
      </c>
      <c r="S44" s="143">
        <f>AF31</f>
        <v>2.8396326078526601E-2</v>
      </c>
      <c r="T44" s="143">
        <f>AF32</f>
        <v>-2.1836527501346487E-2</v>
      </c>
      <c r="U44" s="143">
        <f>AF33</f>
        <v>2.3455765482820665E-2</v>
      </c>
      <c r="V44" s="143">
        <f>AF34</f>
        <v>6.1095975439113159E-2</v>
      </c>
      <c r="W44" s="143">
        <f>AF35</f>
        <v>1.6999024661723202E-2</v>
      </c>
      <c r="X44" s="143">
        <f>AF36</f>
        <v>3.8183424581860949E-2</v>
      </c>
      <c r="Y44" s="143">
        <f>AF37</f>
        <v>1.1574770058320888E-4</v>
      </c>
      <c r="Z44" s="143">
        <f>AF38</f>
        <v>2.4759983283882344E-2</v>
      </c>
      <c r="AA44" s="143">
        <f>AF39</f>
        <v>3.296843192951688E-2</v>
      </c>
      <c r="AB44" s="143">
        <f>AF40</f>
        <v>-3.2513983231717773E-2</v>
      </c>
      <c r="AC44" s="143">
        <f>AF41</f>
        <v>1.9727517699998341E-2</v>
      </c>
      <c r="AD44" s="143">
        <f>AF42</f>
        <v>-3.7435307857710251E-2</v>
      </c>
      <c r="AE44" s="143">
        <f>AF43</f>
        <v>-6.219973488630004E-2</v>
      </c>
      <c r="AF44" s="257">
        <f>_xlfn.VAR.S(BL3:BL7)</f>
        <v>3.1924405357192244E-2</v>
      </c>
      <c r="AG44" s="256">
        <f>_xlfn.COVARIANCE.S($BL$3:$BL$6,BM3:BM6)</f>
        <v>2.6598764818746845E-2</v>
      </c>
      <c r="AH44" s="256">
        <f t="shared" ref="AH44:AK44" si="35">_xlfn.COVARIANCE.S($BL$3:$BL$6,BN3:BN6)</f>
        <v>1.1692762506138115E-2</v>
      </c>
      <c r="AI44" s="256">
        <f t="shared" si="35"/>
        <v>-7.4505268162840333E-3</v>
      </c>
      <c r="AJ44" s="256">
        <f t="shared" si="35"/>
        <v>9.2535647545390811E-3</v>
      </c>
      <c r="AK44" s="256">
        <f t="shared" si="35"/>
        <v>3.1132164971481229E-2</v>
      </c>
      <c r="AQ44" s="119" t="s">
        <v>35</v>
      </c>
      <c r="AR44" s="181">
        <v>1.9729612100712002E-2</v>
      </c>
      <c r="AS44" s="119">
        <f t="shared" si="14"/>
        <v>2.1293446165383475E-2</v>
      </c>
      <c r="AT44" s="119">
        <v>2.1293446165383475E-2</v>
      </c>
      <c r="BL44" s="156"/>
      <c r="BM44" s="156"/>
      <c r="BN44" s="156"/>
      <c r="BO44" s="156"/>
      <c r="BP44" s="156"/>
      <c r="BQ44" s="156"/>
      <c r="BR44" s="156"/>
      <c r="BS44" s="156"/>
      <c r="BT44" s="156"/>
    </row>
    <row r="45" spans="1:72" ht="15.75">
      <c r="B45" s="128" t="s">
        <v>183</v>
      </c>
      <c r="C45" s="140">
        <f>AG15</f>
        <v>0</v>
      </c>
      <c r="D45" s="143">
        <f>AG16</f>
        <v>4.4018579237675111E-2</v>
      </c>
      <c r="E45" s="143">
        <f>AG17</f>
        <v>3.8170573636133971E-2</v>
      </c>
      <c r="F45" s="143">
        <f>AG18</f>
        <v>4.2294111264007728E-2</v>
      </c>
      <c r="G45" s="143">
        <f>AG19</f>
        <v>5.8873860398871346E-2</v>
      </c>
      <c r="H45" s="143">
        <f>AG20</f>
        <v>0.16551733301819135</v>
      </c>
      <c r="I45" s="143">
        <f>AG21</f>
        <v>2.4456999011972378E-2</v>
      </c>
      <c r="J45" s="143">
        <f>AG22</f>
        <v>-4.4803611242714911E-3</v>
      </c>
      <c r="K45" s="143">
        <f>AG23</f>
        <v>-6.3606459148017686E-2</v>
      </c>
      <c r="L45" s="143">
        <f>AG24</f>
        <v>0.22527038391541079</v>
      </c>
      <c r="M45" s="143">
        <f>AG25</f>
        <v>1.784226207265614E-3</v>
      </c>
      <c r="N45" s="143">
        <f>AG26</f>
        <v>3.8556188989188965E-2</v>
      </c>
      <c r="O45" s="143">
        <f>AG27</f>
        <v>-1.5056048563859179E-2</v>
      </c>
      <c r="P45" s="143">
        <f>AG28</f>
        <v>0.20237786385566739</v>
      </c>
      <c r="Q45" s="143">
        <f>AG29</f>
        <v>1.5773337266900094E-2</v>
      </c>
      <c r="R45" s="143">
        <f>AG30</f>
        <v>4.3724766821577775E-3</v>
      </c>
      <c r="S45" s="143">
        <f>AG31</f>
        <v>0.10604756494428076</v>
      </c>
      <c r="T45" s="143">
        <f>AG32</f>
        <v>2.8295886503714687E-2</v>
      </c>
      <c r="U45" s="143">
        <f>AG33</f>
        <v>-1.9286086052357116E-3</v>
      </c>
      <c r="V45" s="143">
        <f>AG34</f>
        <v>1.6510997384275018E-2</v>
      </c>
      <c r="W45" s="143">
        <f>AG35</f>
        <v>-1.422533191515251E-2</v>
      </c>
      <c r="X45" s="143">
        <f>AG36</f>
        <v>-3.4301248701040531E-2</v>
      </c>
      <c r="Y45" s="143">
        <f>AG37</f>
        <v>7.4619390042020353E-2</v>
      </c>
      <c r="Z45" s="143">
        <f>AG38</f>
        <v>5.0949871236611079E-2</v>
      </c>
      <c r="AA45" s="143">
        <f>AG39</f>
        <v>9.4710035976778906E-2</v>
      </c>
      <c r="AB45" s="143">
        <f>AG40</f>
        <v>-7.2431618878820672E-2</v>
      </c>
      <c r="AC45" s="143">
        <f>AG41</f>
        <v>9.7725422286750477E-2</v>
      </c>
      <c r="AD45" s="143">
        <f>AG42</f>
        <v>-5.3570879864536645E-2</v>
      </c>
      <c r="AE45" s="143">
        <f>AG43</f>
        <v>-8.6163765059082478E-2</v>
      </c>
      <c r="AF45" s="256">
        <f>AG44</f>
        <v>2.6598764818746845E-2</v>
      </c>
      <c r="AG45" s="257">
        <f>_xlfn.VAR.S(BM3:BM7)</f>
        <v>9.4663615189255701E-2</v>
      </c>
      <c r="AH45" s="256">
        <f>_xlfn.COVARIANCE.S($BM$3:$BM$6,BN3:BN6)</f>
        <v>2.7567915232099519E-2</v>
      </c>
      <c r="AI45" s="256">
        <f t="shared" ref="AI45:AK45" si="36">_xlfn.COVARIANCE.S($BM$3:$BM$6,BO3:BO6)</f>
        <v>-4.3835271876045738E-2</v>
      </c>
      <c r="AJ45" s="256">
        <f t="shared" si="36"/>
        <v>-2.1192786787257663E-2</v>
      </c>
      <c r="AK45" s="256">
        <f t="shared" si="36"/>
        <v>3.5147349924862536E-3</v>
      </c>
      <c r="AQ45" s="119" t="s">
        <v>41</v>
      </c>
      <c r="AR45" s="181">
        <v>0.92655796283394565</v>
      </c>
      <c r="AS45" s="119">
        <f t="shared" si="14"/>
        <v>1</v>
      </c>
      <c r="AT45" s="119">
        <v>1</v>
      </c>
      <c r="BL45" s="156"/>
      <c r="BM45" s="156"/>
      <c r="BN45" s="156"/>
      <c r="BO45" s="156"/>
      <c r="BP45" s="156"/>
      <c r="BQ45" s="156"/>
      <c r="BR45" s="156"/>
      <c r="BS45" s="156"/>
      <c r="BT45" s="156"/>
    </row>
    <row r="46" spans="1:72" ht="15.75">
      <c r="A46" s="156"/>
      <c r="B46" s="128" t="s">
        <v>184</v>
      </c>
      <c r="C46" s="140">
        <f>AH15</f>
        <v>4.5304989884285836E-2</v>
      </c>
      <c r="D46" s="143">
        <f>AH16</f>
        <v>1.299813675593022E-2</v>
      </c>
      <c r="E46" s="262">
        <f>AH17</f>
        <v>1.3118833145217562E-2</v>
      </c>
      <c r="F46" s="262">
        <f>AH18</f>
        <v>1.1271112670222396E-2</v>
      </c>
      <c r="G46" s="262">
        <f>AH19</f>
        <v>-3.370526158379241E-2</v>
      </c>
      <c r="H46" s="262">
        <f>AH20</f>
        <v>7.5759753386503467E-2</v>
      </c>
      <c r="I46" s="262">
        <f>AH21</f>
        <v>1.3533553161764515E-2</v>
      </c>
      <c r="J46" s="262">
        <f>AH22</f>
        <v>-3.0954995632981089E-3</v>
      </c>
      <c r="K46" s="262">
        <f>AH23</f>
        <v>-2.3323259711022892E-2</v>
      </c>
      <c r="L46" s="262">
        <f>AH24</f>
        <v>8.0696093469282026E-2</v>
      </c>
      <c r="M46" s="262">
        <f>AH25</f>
        <v>6.3315620247056219E-3</v>
      </c>
      <c r="N46" s="262">
        <f>AH26</f>
        <v>2.0481384692296895E-2</v>
      </c>
      <c r="O46" s="262">
        <f>AH27</f>
        <v>-5.0983501543807241E-3</v>
      </c>
      <c r="P46" s="262">
        <f>AH28</f>
        <v>6.1500388024298969E-2</v>
      </c>
      <c r="Q46" s="262">
        <f>AH29</f>
        <v>4.2881115696688709E-3</v>
      </c>
      <c r="R46" s="262">
        <f>AH30</f>
        <v>1.0974931584153136E-3</v>
      </c>
      <c r="S46" s="262">
        <f>AH31</f>
        <v>3.919187718441141E-2</v>
      </c>
      <c r="T46" s="262">
        <f>AH32</f>
        <v>-2.1843311162792017E-2</v>
      </c>
      <c r="U46" s="262">
        <f>AH33</f>
        <v>-5.4260361896144667E-4</v>
      </c>
      <c r="V46" s="262">
        <f>AH34</f>
        <v>1.040800243073268E-2</v>
      </c>
      <c r="W46" s="262">
        <f>AH35</f>
        <v>4.4546725940582078E-3</v>
      </c>
      <c r="X46" s="262">
        <f>AH36</f>
        <v>8.785334060670202E-3</v>
      </c>
      <c r="Y46" s="262">
        <f>AH37</f>
        <v>2.087549408772665E-2</v>
      </c>
      <c r="Z46" s="262">
        <f>AH38</f>
        <v>1.367283767510505E-2</v>
      </c>
      <c r="AA46" s="262">
        <f>AH39</f>
        <v>3.1205589545203107E-2</v>
      </c>
      <c r="AB46" s="262">
        <f>AH40</f>
        <v>-1.7004262016434398E-2</v>
      </c>
      <c r="AC46" s="262">
        <f>AH41</f>
        <v>1.8575235964621635E-2</v>
      </c>
      <c r="AD46" s="262">
        <f>AH42</f>
        <v>-1.3851208147790011E-2</v>
      </c>
      <c r="AE46" s="262">
        <f>AH43</f>
        <v>-2.7488880828601587E-2</v>
      </c>
      <c r="AF46" s="259">
        <f>AH44</f>
        <v>1.1692762506138115E-2</v>
      </c>
      <c r="AG46" s="259">
        <f>AH45</f>
        <v>2.7567915232099519E-2</v>
      </c>
      <c r="AH46" s="260">
        <f>_xlfn.VAR.S(BN3:BN7)</f>
        <v>1.1695353985311454E-2</v>
      </c>
      <c r="AI46" s="259">
        <f>_xlfn.COVARIANCE.S($BN$3:$BN$6,BO3:BO6)</f>
        <v>-9.913645152470044E-3</v>
      </c>
      <c r="AJ46" s="259">
        <f t="shared" ref="AJ46:AK46" si="37">_xlfn.COVARIANCE.S($BN$3:$BN$6,BP3:BP6)</f>
        <v>-1.0064815171855998E-2</v>
      </c>
      <c r="AK46" s="259">
        <f t="shared" si="37"/>
        <v>1.3522495556450969E-2</v>
      </c>
      <c r="AL46" s="156"/>
      <c r="AM46" s="156"/>
      <c r="AN46" s="156"/>
      <c r="AO46" s="156"/>
      <c r="AP46" s="156"/>
      <c r="AQ46" s="156"/>
      <c r="AR46" s="156">
        <v>0.10739326559278162</v>
      </c>
      <c r="AS46" s="156">
        <f>1/AR45</f>
        <v>1.079263295025199</v>
      </c>
      <c r="AT46" s="156">
        <v>1.079263295025199</v>
      </c>
      <c r="AU46" s="156"/>
      <c r="AV46" s="156"/>
      <c r="AW46" s="156"/>
      <c r="AX46" s="156"/>
      <c r="AY46" s="156"/>
      <c r="AZ46" s="156"/>
      <c r="BA46" s="156"/>
      <c r="BB46" s="156"/>
      <c r="BC46" s="156"/>
      <c r="BD46" s="156"/>
      <c r="BE46" s="156"/>
      <c r="BF46" s="156"/>
      <c r="BG46" s="156"/>
      <c r="BH46" s="156"/>
      <c r="BI46" s="156"/>
      <c r="BJ46" s="156"/>
      <c r="BK46" s="156"/>
      <c r="BL46" s="156"/>
      <c r="BM46" s="156"/>
      <c r="BN46" s="156"/>
      <c r="BO46" s="156"/>
      <c r="BP46" s="156"/>
      <c r="BQ46" s="156"/>
      <c r="BR46" s="156"/>
      <c r="BS46" s="156"/>
      <c r="BT46" s="156"/>
    </row>
    <row r="47" spans="1:72" ht="15.75">
      <c r="A47" s="156"/>
      <c r="B47" s="128" t="s">
        <v>185</v>
      </c>
      <c r="C47" s="140">
        <f>AI15</f>
        <v>4.0139792190415226E-2</v>
      </c>
      <c r="D47" s="143">
        <f>AI16</f>
        <v>-2.0325602242948212E-2</v>
      </c>
      <c r="E47" s="262">
        <f>AI17</f>
        <v>-1.6472143477595496E-2</v>
      </c>
      <c r="F47" s="262">
        <f>AI18</f>
        <v>-1.9708353060675716E-2</v>
      </c>
      <c r="G47" s="262">
        <f>AI19</f>
        <v>-6.7393537737110529E-2</v>
      </c>
      <c r="H47" s="262">
        <f>AI20</f>
        <v>-5.9121935038153252E-2</v>
      </c>
      <c r="I47" s="262">
        <f>AI21</f>
        <v>-6.3704322396019109E-3</v>
      </c>
      <c r="J47" s="262">
        <f>AI22</f>
        <v>2.8836121780794269E-4</v>
      </c>
      <c r="K47" s="262">
        <f>AI23</f>
        <v>2.4167162958845346E-2</v>
      </c>
      <c r="L47" s="262">
        <f>AI24</f>
        <v>-9.2843396056903962E-2</v>
      </c>
      <c r="M47" s="262">
        <f>AI25</f>
        <v>3.4634553601164525E-3</v>
      </c>
      <c r="N47" s="262">
        <f>AI26</f>
        <v>-1.1998860879192372E-2</v>
      </c>
      <c r="O47" s="262">
        <f>AI27</f>
        <v>6.8280803162394793E-3</v>
      </c>
      <c r="P47" s="262">
        <f>AI28</f>
        <v>-9.6677630217683899E-2</v>
      </c>
      <c r="Q47" s="262">
        <f>AI29</f>
        <v>-7.4545936984476381E-3</v>
      </c>
      <c r="R47" s="262">
        <f>AI30</f>
        <v>-1.3680534072030568E-3</v>
      </c>
      <c r="S47" s="262">
        <f>AI31</f>
        <v>-4.3564552587789442E-2</v>
      </c>
      <c r="T47" s="262">
        <f>AI32</f>
        <v>-3.6270076445795885E-2</v>
      </c>
      <c r="U47" s="262">
        <f>AI33</f>
        <v>3.0404008460843193E-3</v>
      </c>
      <c r="V47" s="262">
        <f>AI34</f>
        <v>1.1947541229071536E-3</v>
      </c>
      <c r="W47" s="262">
        <f>AI35</f>
        <v>1.4318304937870008E-2</v>
      </c>
      <c r="X47" s="262">
        <f>AI36</f>
        <v>3.2941728609557346E-2</v>
      </c>
      <c r="Y47" s="262">
        <f>AI37</f>
        <v>-3.6991234640554656E-2</v>
      </c>
      <c r="Z47" s="262">
        <f>AI38</f>
        <v>-2.3458557601340097E-2</v>
      </c>
      <c r="AA47" s="262">
        <f>AI39</f>
        <v>-4.0819619074868911E-2</v>
      </c>
      <c r="AB47" s="262">
        <f>AI40</f>
        <v>3.5247767417055154E-2</v>
      </c>
      <c r="AC47" s="262">
        <f>AI41</f>
        <v>-5.2682167755012839E-2</v>
      </c>
      <c r="AD47" s="262">
        <f>AI42</f>
        <v>2.4009347104615889E-2</v>
      </c>
      <c r="AE47" s="262">
        <f>AI43</f>
        <v>3.4886202048276298E-2</v>
      </c>
      <c r="AF47" s="259">
        <f>AI44</f>
        <v>-7.4505268162840333E-3</v>
      </c>
      <c r="AG47" s="259">
        <f>AI45</f>
        <v>-4.3835271876045738E-2</v>
      </c>
      <c r="AH47" s="259">
        <f>AI46</f>
        <v>-9.913645152470044E-3</v>
      </c>
      <c r="AI47" s="260">
        <f>_xlfn.VAR.S(BO3:BO7)</f>
        <v>2.2676525705186107E-2</v>
      </c>
      <c r="AJ47" s="259">
        <f>_xlfn.COVARIANCE.S($BO$3:$BO$6,BP3:BP6)</f>
        <v>8.5110398928447475E-3</v>
      </c>
      <c r="AK47" s="259">
        <f>_xlfn.COVARIANCE.S($BO$3:$BO$6,BQ3:BQ6)</f>
        <v>9.5781855098534749E-3</v>
      </c>
      <c r="AL47" s="156"/>
      <c r="AM47" s="156"/>
      <c r="AN47" s="156"/>
      <c r="AO47" s="156"/>
      <c r="AP47" s="156"/>
      <c r="AQ47" s="156"/>
      <c r="AR47" s="156">
        <v>1</v>
      </c>
      <c r="AS47" s="156"/>
      <c r="AT47" s="156"/>
      <c r="AU47" s="156"/>
      <c r="AV47" s="156"/>
      <c r="AW47" s="156"/>
      <c r="AX47" s="156"/>
      <c r="AY47" s="156"/>
      <c r="AZ47" s="156"/>
      <c r="BA47" s="156"/>
      <c r="BB47" s="156"/>
      <c r="BC47" s="156"/>
      <c r="BD47" s="156"/>
      <c r="BE47" s="156"/>
      <c r="BF47" s="156"/>
      <c r="BG47" s="156"/>
      <c r="BH47" s="156"/>
      <c r="BI47" s="156"/>
      <c r="BJ47" s="156"/>
      <c r="BK47" s="156"/>
      <c r="BL47" s="156"/>
      <c r="BM47" s="156"/>
      <c r="BN47" s="156"/>
      <c r="BO47" s="156"/>
      <c r="BP47" s="156"/>
      <c r="BQ47" s="156"/>
      <c r="BR47" s="156"/>
      <c r="BS47" s="156"/>
      <c r="BT47" s="156"/>
    </row>
    <row r="48" spans="1:72" ht="15.75">
      <c r="A48" s="156"/>
      <c r="B48" s="128" t="s">
        <v>186</v>
      </c>
      <c r="C48" s="140">
        <f>AJ15</f>
        <v>4.2569001516059954E-2</v>
      </c>
      <c r="D48" s="143">
        <f>AJ16</f>
        <v>-1.092420233439737E-2</v>
      </c>
      <c r="E48" s="262">
        <f>AJ17</f>
        <v>-1.4498069043013309E-2</v>
      </c>
      <c r="F48" s="262">
        <f>AJ18</f>
        <v>-9.1079331604335297E-4</v>
      </c>
      <c r="G48" s="262">
        <f>AJ19</f>
        <v>3.452148063743004E-2</v>
      </c>
      <c r="H48" s="262">
        <f>AJ20</f>
        <v>-0.1085243118836674</v>
      </c>
      <c r="I48" s="262">
        <f>AJ21</f>
        <v>-1.2623047976633833E-2</v>
      </c>
      <c r="J48" s="262">
        <f>AJ22</f>
        <v>-1.3448679709325633E-3</v>
      </c>
      <c r="K48" s="262">
        <f>AJ23</f>
        <v>2.5632248729117678E-3</v>
      </c>
      <c r="L48" s="262">
        <f>AJ24</f>
        <v>-6.9343043494436138E-2</v>
      </c>
      <c r="M48" s="262">
        <f>AJ25</f>
        <v>-9.0592918683448688E-3</v>
      </c>
      <c r="N48" s="262">
        <f>AJ26</f>
        <v>-3.2937718151466712E-2</v>
      </c>
      <c r="O48" s="262">
        <f>AJ27</f>
        <v>8.5684745090406165E-3</v>
      </c>
      <c r="P48" s="262">
        <f>AJ28</f>
        <v>-0.10155396920127674</v>
      </c>
      <c r="Q48" s="262">
        <f>AJ29</f>
        <v>-2.2679375233692219E-3</v>
      </c>
      <c r="R48" s="262">
        <f>AJ30</f>
        <v>7.7737633239571132E-3</v>
      </c>
      <c r="S48" s="262">
        <f>AJ31</f>
        <v>-4.2493704323251086E-2</v>
      </c>
      <c r="T48" s="262">
        <f>AJ32</f>
        <v>2.8090596848842641E-2</v>
      </c>
      <c r="U48" s="262">
        <f>AJ33</f>
        <v>2.3433697230870743E-2</v>
      </c>
      <c r="V48" s="262">
        <f>AJ34</f>
        <v>3.8780119386146623E-2</v>
      </c>
      <c r="W48" s="262">
        <f>AJ35</f>
        <v>5.332761655887106E-3</v>
      </c>
      <c r="X48" s="262">
        <f>AJ36</f>
        <v>1.4262707501606103E-2</v>
      </c>
      <c r="Y48" s="262">
        <f>AJ37</f>
        <v>-3.4934284729139842E-2</v>
      </c>
      <c r="Z48" s="262">
        <f>AJ38</f>
        <v>1.0618441110190307E-3</v>
      </c>
      <c r="AA48" s="262">
        <f>AJ39</f>
        <v>-2.2692450522726629E-2</v>
      </c>
      <c r="AB48" s="262">
        <f>AJ40</f>
        <v>-4.0290904822536259E-3</v>
      </c>
      <c r="AC48" s="262">
        <f>AJ41</f>
        <v>-8.5938907002830276E-3</v>
      </c>
      <c r="AD48" s="262">
        <f>AJ42</f>
        <v>-1.3163826112286336E-2</v>
      </c>
      <c r="AE48" s="262">
        <f>AJ43</f>
        <v>-1.2165963441348506E-2</v>
      </c>
      <c r="AF48" s="259">
        <f>AJ44</f>
        <v>9.2535647545390811E-3</v>
      </c>
      <c r="AG48" s="259">
        <f>AJ45</f>
        <v>-2.1192786787257663E-2</v>
      </c>
      <c r="AH48" s="259">
        <f>AJ46</f>
        <v>-1.0064815171855998E-2</v>
      </c>
      <c r="AI48" s="259">
        <f>AJ47</f>
        <v>8.5110398928447475E-3</v>
      </c>
      <c r="AJ48" s="260">
        <f>_xlfn.VAR.S(BP3:BP7)</f>
        <v>2.7503190496939656E-2</v>
      </c>
      <c r="AK48" s="259">
        <f>_xlfn.COVARIANCE.S(BP3:BP6,BQ3:BQ6)</f>
        <v>1.9714348977972304E-3</v>
      </c>
      <c r="AL48" s="156"/>
      <c r="AM48" s="156"/>
      <c r="AN48" s="156"/>
      <c r="AO48" s="156"/>
      <c r="AP48" s="156"/>
      <c r="AQ48" s="156"/>
      <c r="AR48" s="156"/>
      <c r="AS48" s="156"/>
      <c r="AT48" s="156"/>
      <c r="AU48" s="156"/>
      <c r="AV48" s="156"/>
      <c r="AW48" s="156"/>
      <c r="AX48" s="156"/>
      <c r="AY48" s="156"/>
      <c r="AZ48" s="156"/>
      <c r="BA48" s="156"/>
      <c r="BB48" s="156"/>
      <c r="BC48" s="156"/>
      <c r="BD48" s="156"/>
      <c r="BE48" s="156"/>
      <c r="BF48" s="156"/>
      <c r="BG48" s="156"/>
      <c r="BH48" s="156"/>
      <c r="BI48" s="156"/>
      <c r="BJ48" s="156"/>
      <c r="BK48" s="156"/>
      <c r="BL48" s="156"/>
      <c r="BM48" s="156"/>
      <c r="BN48" s="156"/>
      <c r="BO48" s="156"/>
      <c r="BP48" s="156"/>
      <c r="BQ48" s="156"/>
      <c r="BR48" s="156"/>
      <c r="BS48" s="156"/>
      <c r="BT48" s="156"/>
    </row>
    <row r="49" spans="1:72" ht="15.75">
      <c r="A49" s="156"/>
      <c r="B49" s="128" t="s">
        <v>187</v>
      </c>
      <c r="C49" s="140">
        <f>AK15</f>
        <v>0</v>
      </c>
      <c r="D49" s="143">
        <f>AK16</f>
        <v>1.4878688875574937E-3</v>
      </c>
      <c r="E49" s="262">
        <f>AK17</f>
        <v>4.9510544061524041E-3</v>
      </c>
      <c r="F49" s="262">
        <f>AK18</f>
        <v>4.414593104956223E-3</v>
      </c>
      <c r="G49" s="262">
        <f>AK19</f>
        <v>-0.17654252616911961</v>
      </c>
      <c r="H49" s="262">
        <f>AK20</f>
        <v>6.3750581879803966E-2</v>
      </c>
      <c r="I49" s="262">
        <f>AK21</f>
        <v>2.2466582340327657E-2</v>
      </c>
      <c r="J49" s="262">
        <f>AK22</f>
        <v>-9.9263154140497023E-3</v>
      </c>
      <c r="K49" s="262">
        <f>AK23</f>
        <v>-3.3154351824255295E-2</v>
      </c>
      <c r="L49" s="262">
        <f>AK24</f>
        <v>5.7322817401872624E-2</v>
      </c>
      <c r="M49" s="262">
        <f>AK25</f>
        <v>1.7733698682829618E-2</v>
      </c>
      <c r="N49" s="262">
        <f>AK26</f>
        <v>2.0507780649203011E-2</v>
      </c>
      <c r="O49" s="262">
        <f>AK27</f>
        <v>8.2901587734780704E-4</v>
      </c>
      <c r="P49" s="262">
        <f>AK28</f>
        <v>-2.9805573902636381E-2</v>
      </c>
      <c r="Q49" s="262">
        <f>AK29</f>
        <v>3.5281629224219344E-4</v>
      </c>
      <c r="R49" s="262">
        <f>AK30</f>
        <v>6.9340569686734167E-3</v>
      </c>
      <c r="S49" s="262">
        <f>AK31</f>
        <v>2.3711209744005323E-2</v>
      </c>
      <c r="T49" s="262">
        <f>AK32</f>
        <v>-9.9347815294347983E-2</v>
      </c>
      <c r="U49" s="262">
        <f>AK33</f>
        <v>1.9804183670766428E-2</v>
      </c>
      <c r="V49" s="262">
        <f>AK34</f>
        <v>6.1366519863062657E-2</v>
      </c>
      <c r="W49" s="262">
        <f>AK35</f>
        <v>3.8478228243219628E-2</v>
      </c>
      <c r="X49" s="262">
        <f>AK36</f>
        <v>8.5535454016650928E-2</v>
      </c>
      <c r="Y49" s="262">
        <f>AK37</f>
        <v>-1.6611648054252266E-2</v>
      </c>
      <c r="Z49" s="262">
        <f>AK38</f>
        <v>7.5866257105648384E-3</v>
      </c>
      <c r="AA49" s="262">
        <f>AK39</f>
        <v>1.7898570629314936E-2</v>
      </c>
      <c r="AB49" s="262">
        <f>AK40</f>
        <v>-2.4363055290725099E-3</v>
      </c>
      <c r="AC49" s="262">
        <f>AK41</f>
        <v>-2.7660457154696717E-2</v>
      </c>
      <c r="AD49" s="262">
        <f>AK42</f>
        <v>-1.6074763520282948E-2</v>
      </c>
      <c r="AE49" s="262">
        <f>AK43</f>
        <v>-4.0624133379902054E-2</v>
      </c>
      <c r="AF49" s="259">
        <f>AK44</f>
        <v>3.1132164971481229E-2</v>
      </c>
      <c r="AG49" s="259">
        <f>AK45</f>
        <v>3.5147349924862536E-3</v>
      </c>
      <c r="AH49" s="259">
        <f>AK46</f>
        <v>1.3522495556450969E-2</v>
      </c>
      <c r="AI49" s="259">
        <f>AK47</f>
        <v>9.5781855098534749E-3</v>
      </c>
      <c r="AJ49" s="259">
        <f>AK48</f>
        <v>1.9714348977972304E-3</v>
      </c>
      <c r="AK49" s="260">
        <f>_xlfn.VAR.S(BQ3:BQ7)</f>
        <v>5.6524617706147563E-2</v>
      </c>
      <c r="AL49" s="156"/>
      <c r="AM49" s="156"/>
      <c r="AN49" s="156"/>
      <c r="AO49" s="156"/>
      <c r="AP49" s="156"/>
      <c r="AQ49" s="156"/>
      <c r="AR49" s="156"/>
      <c r="AS49" s="156"/>
      <c r="AT49" s="156"/>
      <c r="AU49" s="156"/>
      <c r="AV49" s="156"/>
      <c r="AW49" s="156"/>
      <c r="AX49" s="156"/>
      <c r="AY49" s="156"/>
      <c r="AZ49" s="156"/>
      <c r="BA49" s="156"/>
      <c r="BB49" s="156"/>
      <c r="BC49" s="156"/>
      <c r="BD49" s="156"/>
      <c r="BE49" s="156"/>
      <c r="BF49" s="156"/>
      <c r="BG49" s="156"/>
      <c r="BH49" s="156"/>
      <c r="BI49" s="156"/>
      <c r="BJ49" s="156"/>
      <c r="BK49" s="156"/>
      <c r="BL49" s="156"/>
      <c r="BM49" s="156"/>
      <c r="BN49" s="156"/>
      <c r="BO49" s="156"/>
      <c r="BP49" s="156"/>
      <c r="BQ49" s="156"/>
      <c r="BR49" s="156"/>
      <c r="BS49" s="156"/>
      <c r="BT49" s="156"/>
    </row>
    <row r="50" spans="1:72" ht="15.75">
      <c r="A50" s="156"/>
      <c r="B50" s="156"/>
      <c r="C50" s="156"/>
      <c r="D50" s="156"/>
      <c r="E50" s="156"/>
      <c r="F50" s="156"/>
      <c r="G50" s="156"/>
      <c r="H50" s="156"/>
      <c r="I50" s="156"/>
      <c r="J50" s="156"/>
      <c r="K50" s="156"/>
      <c r="L50" s="156"/>
      <c r="M50" s="156"/>
      <c r="N50" s="156"/>
      <c r="O50" s="156"/>
      <c r="P50" s="156"/>
      <c r="Q50" s="156"/>
      <c r="R50" s="156"/>
      <c r="S50" s="156"/>
      <c r="T50" s="156"/>
      <c r="U50" s="156"/>
      <c r="V50" s="156"/>
      <c r="W50" s="156"/>
      <c r="X50" s="156"/>
      <c r="Y50" s="156"/>
      <c r="Z50" s="156"/>
      <c r="AA50" s="156"/>
      <c r="AB50" s="156"/>
      <c r="AC50" s="156"/>
      <c r="AD50" s="156"/>
      <c r="AE50" s="156"/>
      <c r="AF50" s="156"/>
      <c r="AG50" s="156"/>
      <c r="AH50" s="156"/>
      <c r="AI50" s="156"/>
      <c r="AJ50" s="156"/>
      <c r="AK50" s="156"/>
      <c r="AL50" s="156"/>
      <c r="AM50" s="156"/>
      <c r="AN50" s="156"/>
      <c r="AO50" s="156"/>
      <c r="AP50" s="156"/>
      <c r="AQ50" s="156"/>
      <c r="AR50" s="156"/>
      <c r="AS50" s="156"/>
      <c r="AT50" s="156"/>
      <c r="AU50" s="156"/>
      <c r="AV50" s="156"/>
      <c r="AW50" s="156"/>
      <c r="AX50" s="156"/>
      <c r="AY50" s="156"/>
      <c r="AZ50" s="156"/>
      <c r="BA50" s="156"/>
      <c r="BB50" s="156"/>
      <c r="BC50" s="156"/>
      <c r="BD50" s="156"/>
      <c r="BE50" s="156"/>
      <c r="BF50" s="156"/>
      <c r="BG50" s="156"/>
      <c r="BH50" s="156"/>
      <c r="BI50" s="156"/>
      <c r="BJ50" s="156"/>
      <c r="BK50" s="156"/>
      <c r="BL50" s="156"/>
      <c r="BM50" s="156"/>
      <c r="BN50" s="156"/>
      <c r="BO50" s="156"/>
      <c r="BP50" s="156"/>
      <c r="BQ50" s="156"/>
      <c r="BR50" s="156"/>
      <c r="BS50" s="156"/>
      <c r="BT50" s="15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Portfolio</vt:lpstr>
      <vt:lpstr>Transactions</vt:lpstr>
      <vt:lpstr>Weekly Overview</vt:lpstr>
      <vt:lpstr>Stocks</vt:lpstr>
      <vt:lpstr>ETF+Bonds</vt:lpstr>
      <vt:lpstr>REIT+Crypto+Cash</vt:lpstr>
      <vt:lpstr>Sample Portfolio Quarterly</vt:lpstr>
      <vt:lpstr>Sample Portfolio Annual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Martinas Jucys-Brady</cp:lastModifiedBy>
  <cp:lastPrinted>2021-04-22T23:13:25Z</cp:lastPrinted>
  <dcterms:created xsi:type="dcterms:W3CDTF">2019-12-17T08:55:12Z</dcterms:created>
  <dcterms:modified xsi:type="dcterms:W3CDTF">2026-01-26T17:34:00Z</dcterms:modified>
</cp:coreProperties>
</file>